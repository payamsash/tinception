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newcastle-my.sharepoint.com/personal/ney14_newcastle_ac_uk/Documents/fMRI London analysis/"/>
    </mc:Choice>
  </mc:AlternateContent>
  <bookViews>
    <workbookView xWindow="0" yWindow="0" windowWidth="28800" windowHeight="1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9" i="1" l="1"/>
  <c r="V9" i="1"/>
  <c r="V11" i="1"/>
  <c r="V12" i="1"/>
  <c r="V13" i="1"/>
  <c r="V15" i="1"/>
  <c r="V16" i="1"/>
  <c r="V17" i="1"/>
  <c r="V19" i="1"/>
  <c r="V20" i="1"/>
  <c r="V21" i="1"/>
  <c r="V22" i="1"/>
  <c r="V23" i="1"/>
  <c r="V24" i="1"/>
  <c r="V25" i="1"/>
  <c r="V27" i="1"/>
  <c r="V28" i="1"/>
  <c r="V30" i="1"/>
  <c r="V31" i="1"/>
  <c r="V32" i="1"/>
  <c r="V33" i="1"/>
  <c r="V6" i="1"/>
  <c r="V3" i="1"/>
  <c r="V39" i="1"/>
  <c r="V45" i="1"/>
  <c r="V46" i="1"/>
  <c r="V54" i="1"/>
  <c r="V55" i="1"/>
  <c r="V56" i="1"/>
  <c r="V57" i="1"/>
  <c r="V58" i="1"/>
  <c r="V59" i="1"/>
  <c r="V53" i="1"/>
  <c r="V47" i="1"/>
  <c r="V48" i="1"/>
  <c r="V49" i="1"/>
  <c r="V50" i="1"/>
  <c r="V51" i="1"/>
  <c r="V43" i="1"/>
  <c r="V42" i="1"/>
</calcChain>
</file>

<file path=xl/sharedStrings.xml><?xml version="1.0" encoding="utf-8"?>
<sst xmlns="http://schemas.openxmlformats.org/spreadsheetml/2006/main" count="288" uniqueCount="120">
  <si>
    <t>Tinnitus group</t>
  </si>
  <si>
    <t>Details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</si>
  <si>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</si>
  <si>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</si>
  <si>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</si>
  <si>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</si>
  <si>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</si>
  <si>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</si>
  <si>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</si>
  <si>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</si>
  <si>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</si>
  <si>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</si>
  <si>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</si>
  <si>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</si>
  <si>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</si>
  <si>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</si>
  <si>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</si>
  <si>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</si>
  <si>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</si>
  <si>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</si>
  <si>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</si>
  <si>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</si>
  <si>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Tinnitus Questionnaire</t>
  </si>
  <si>
    <t>date</t>
  </si>
  <si>
    <t>age on day of MRI</t>
  </si>
  <si>
    <t>sex</t>
  </si>
  <si>
    <t>f</t>
  </si>
  <si>
    <t xml:space="preserve">m </t>
  </si>
  <si>
    <t>m</t>
  </si>
  <si>
    <t>handedness</t>
  </si>
  <si>
    <t>r</t>
  </si>
  <si>
    <t>l</t>
  </si>
  <si>
    <t xml:space="preserve">l </t>
  </si>
  <si>
    <t xml:space="preserve">r </t>
  </si>
  <si>
    <t>Side of tinnitus</t>
  </si>
  <si>
    <t>equal/central</t>
  </si>
  <si>
    <t>more left than right</t>
  </si>
  <si>
    <t>more right than left</t>
  </si>
  <si>
    <t>mainly left</t>
  </si>
  <si>
    <t>right</t>
  </si>
  <si>
    <t>entirely left</t>
  </si>
  <si>
    <t>central</t>
  </si>
  <si>
    <t>central/equal</t>
  </si>
  <si>
    <t xml:space="preserve">Type of tinnitus sound - </t>
  </si>
  <si>
    <t>hissing/static</t>
  </si>
  <si>
    <t>whistling/ringing/pure tone</t>
  </si>
  <si>
    <t>whistling/pure/ringing</t>
  </si>
  <si>
    <t>pure tone</t>
  </si>
  <si>
    <t>whistling/ringing</t>
  </si>
  <si>
    <t>ringing</t>
  </si>
  <si>
    <t>hissing</t>
  </si>
  <si>
    <t>ringing/computer noise</t>
  </si>
  <si>
    <t>buzzing</t>
  </si>
  <si>
    <t>buzzing/ringing</t>
  </si>
  <si>
    <t>ringing, static</t>
  </si>
  <si>
    <t>Average tinnitus loudness (0-10)</t>
  </si>
  <si>
    <t>Does the loudness fluctuate a lot over days or weeks?</t>
  </si>
  <si>
    <t>yes</t>
  </si>
  <si>
    <t>no</t>
  </si>
  <si>
    <t>variable</t>
  </si>
  <si>
    <t>Loudness of tinnitus on day of EEG</t>
  </si>
  <si>
    <t>How much does tinnitus bother participants (0-10)</t>
  </si>
  <si>
    <t>Percentage of awake time participant is aware of tinnitus</t>
  </si>
  <si>
    <t>Do moderately loud sounds/noisy environment make tinnitus worse?</t>
  </si>
  <si>
    <t xml:space="preserve">After concerts, before going to sleep, during the nighttime, randomly in the morning </t>
  </si>
  <si>
    <t xml:space="preserve">no </t>
  </si>
  <si>
    <t>after leaving a loud place</t>
  </si>
  <si>
    <t>slightly</t>
  </si>
  <si>
    <t>after noisy environments</t>
  </si>
  <si>
    <t>sometimes</t>
  </si>
  <si>
    <t xml:space="preserve">yes </t>
  </si>
  <si>
    <t>after concerts</t>
  </si>
  <si>
    <t>Tinnitus functional index</t>
  </si>
  <si>
    <t>Hyperacusis Questionnaire</t>
  </si>
  <si>
    <t>I H S</t>
  </si>
  <si>
    <t>Audiometry Test</t>
  </si>
  <si>
    <t xml:space="preserve">                   Left ear</t>
  </si>
  <si>
    <t>0.25 kHz</t>
  </si>
  <si>
    <t>0.5 kHz</t>
  </si>
  <si>
    <t>1 kHz</t>
  </si>
  <si>
    <t>2 kHz</t>
  </si>
  <si>
    <t>4 kHz</t>
  </si>
  <si>
    <t>6 kHz</t>
  </si>
  <si>
    <t>8 kHz</t>
  </si>
  <si>
    <t xml:space="preserve">                  Right ear</t>
  </si>
  <si>
    <t>MP04140</t>
  </si>
  <si>
    <t>MP03897</t>
  </si>
  <si>
    <t>MP03925</t>
  </si>
  <si>
    <t>MP03923</t>
  </si>
  <si>
    <t>MP03926</t>
  </si>
  <si>
    <t>MP03928</t>
  </si>
  <si>
    <t>MP04135</t>
  </si>
  <si>
    <t>MP03987</t>
  </si>
  <si>
    <t>Control group</t>
  </si>
  <si>
    <t>10f, 9m</t>
  </si>
  <si>
    <t>MP04171</t>
  </si>
  <si>
    <t>MP04165</t>
  </si>
  <si>
    <t>MP03902</t>
  </si>
  <si>
    <t>MP03934</t>
  </si>
  <si>
    <t>MP04143</t>
  </si>
  <si>
    <t>MP03907</t>
  </si>
  <si>
    <t>MP04105</t>
  </si>
  <si>
    <t>MP03935</t>
  </si>
  <si>
    <t>MP04147</t>
  </si>
  <si>
    <t>MP03966</t>
  </si>
  <si>
    <t>MP04154</t>
  </si>
  <si>
    <t>MP04155</t>
  </si>
  <si>
    <t>MP04177</t>
  </si>
  <si>
    <t>Averages</t>
  </si>
  <si>
    <t>tinnitus duration (years)</t>
  </si>
  <si>
    <t>MRI Dataset</t>
  </si>
  <si>
    <t>MP03759</t>
  </si>
  <si>
    <t>MP03760</t>
  </si>
  <si>
    <t>MP03769</t>
  </si>
  <si>
    <t>MP03774</t>
  </si>
  <si>
    <t>MP03776</t>
  </si>
  <si>
    <t>MP03779</t>
  </si>
  <si>
    <t>MP03788</t>
  </si>
  <si>
    <t>MP03770</t>
  </si>
  <si>
    <t>3l, 16r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</si>
</sst>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4">
    <xf numFmtId="0" fontId="0" fillId="0" borderId="0" xfId="0"/>
    <xf numFmtId="0" fontId="3" fillId="0" borderId="0" xfId="0" applyFont="1" applyFill="1"/>
    <xf numFmtId="0" fontId="3" fillId="0" borderId="0" xfId="0" applyFont="1"/>
    <xf numFmtId="0" fontId="6" fillId="0" borderId="0" xfId="0" applyFont="1"/>
    <xf numFmtId="0" fontId="5" fillId="5" borderId="3" xfId="0" applyFont="1" applyFill="1" applyBorder="1"/>
    <xf numFmtId="0" fontId="5" fillId="4" borderId="2" xfId="0" applyFont="1" applyFill="1" applyBorder="1"/>
    <xf numFmtId="14" fontId="6" fillId="0" borderId="0" xfId="0" applyNumberFormat="1" applyFont="1"/>
    <xf numFmtId="0" fontId="5" fillId="5" borderId="0" xfId="0" applyFont="1" applyFill="1"/>
    <xf numFmtId="9" fontId="0" fillId="0" borderId="0" xfId="0" applyNumberFormat="1"/>
    <xf numFmtId="0" fontId="5" fillId="6" borderId="3" xfId="0" applyFont="1" applyFill="1" applyBorder="1"/>
    <xf numFmtId="0" fontId="0" fillId="7" borderId="4" xfId="0" applyFill="1" applyBorder="1"/>
    <xf numFmtId="0" fontId="6" fillId="7" borderId="4" xfId="0" applyFont="1" applyFill="1" applyBorder="1"/>
    <xf numFmtId="0" fontId="5" fillId="6" borderId="5" xfId="0" applyFont="1" applyFill="1" applyBorder="1"/>
    <xf numFmtId="0" fontId="0" fillId="7" borderId="6" xfId="0" applyFill="1" applyBorder="1"/>
    <xf numFmtId="0" fontId="6" fillId="7" borderId="6" xfId="0" applyFont="1" applyFill="1" applyBorder="1"/>
    <xf numFmtId="0" fontId="2" fillId="7" borderId="6" xfId="0" applyFont="1" applyFill="1" applyBorder="1"/>
    <xf numFmtId="0" fontId="0" fillId="7" borderId="7" xfId="0" applyFill="1" applyBorder="1"/>
    <xf numFmtId="0" fontId="6" fillId="7" borderId="7" xfId="0" applyFont="1" applyFill="1" applyBorder="1"/>
    <xf numFmtId="0" fontId="2" fillId="7" borderId="7" xfId="0" applyFont="1" applyFill="1" applyBorder="1"/>
    <xf numFmtId="0" fontId="5" fillId="8" borderId="3" xfId="0" applyFont="1" applyFill="1" applyBorder="1"/>
    <xf numFmtId="0" fontId="0" fillId="9" borderId="0" xfId="0" applyFill="1"/>
    <xf numFmtId="0" fontId="6" fillId="9" borderId="0" xfId="0" applyFont="1" applyFill="1"/>
    <xf numFmtId="0" fontId="2" fillId="9" borderId="0" xfId="0" applyFont="1" applyFill="1"/>
    <xf numFmtId="0" fontId="5" fillId="10" borderId="0" xfId="0" applyFont="1" applyFill="1"/>
    <xf numFmtId="0" fontId="6" fillId="0" borderId="0" xfId="0" applyFont="1" applyFill="1"/>
    <xf numFmtId="0" fontId="5" fillId="8" borderId="0" xfId="0" applyFont="1" applyFill="1"/>
    <xf numFmtId="0" fontId="5" fillId="5" borderId="0" xfId="0" applyFont="1" applyFill="1" applyBorder="1"/>
    <xf numFmtId="0" fontId="5" fillId="11" borderId="3" xfId="0" applyFont="1" applyFill="1" applyBorder="1"/>
    <xf numFmtId="0" fontId="5" fillId="12" borderId="3" xfId="0" applyFont="1" applyFill="1" applyBorder="1"/>
    <xf numFmtId="0" fontId="6" fillId="12" borderId="3" xfId="0" applyFont="1" applyFill="1" applyBorder="1"/>
    <xf numFmtId="0" fontId="0" fillId="12" borderId="3" xfId="0" applyFill="1" applyBorder="1"/>
    <xf numFmtId="0" fontId="0" fillId="0" borderId="0" xfId="0" applyFill="1" applyBorder="1"/>
    <xf numFmtId="0" fontId="6" fillId="0" borderId="0" xfId="0" applyFont="1" applyFill="1" applyBorder="1"/>
    <xf numFmtId="0" fontId="5" fillId="0" borderId="0" xfId="0" applyNumberFormat="1" applyFont="1"/>
    <xf numFmtId="0" fontId="6" fillId="0" borderId="0" xfId="0" applyNumberFormat="1" applyFont="1"/>
    <xf numFmtId="14" fontId="0" fillId="0" borderId="0" xfId="0" applyNumberFormat="1"/>
    <xf numFmtId="14" fontId="6" fillId="0" borderId="9" xfId="0" applyNumberFormat="1" applyFont="1" applyBorder="1"/>
    <xf numFmtId="14" fontId="6" fillId="0" borderId="0" xfId="0" applyNumberFormat="1" applyFont="1" applyBorder="1"/>
    <xf numFmtId="0" fontId="6" fillId="0" borderId="9" xfId="0" applyFont="1" applyBorder="1"/>
    <xf numFmtId="0" fontId="6" fillId="0" borderId="0" xfId="0" applyFont="1" applyBorder="1"/>
    <xf numFmtId="0" fontId="6" fillId="7" borderId="10" xfId="0" applyFont="1" applyFill="1" applyBorder="1"/>
    <xf numFmtId="0" fontId="6" fillId="9" borderId="9" xfId="0" applyFont="1" applyFill="1" applyBorder="1"/>
    <xf numFmtId="0" fontId="6" fillId="0" borderId="8" xfId="0" applyFont="1" applyBorder="1"/>
    <xf numFmtId="0" fontId="6" fillId="0" borderId="9" xfId="0" applyFont="1" applyFill="1" applyBorder="1"/>
    <xf numFmtId="0" fontId="6" fillId="0" borderId="11" xfId="0" applyFont="1" applyBorder="1"/>
    <xf numFmtId="0" fontId="6" fillId="9" borderId="0" xfId="0" applyFont="1" applyFill="1" applyBorder="1"/>
    <xf numFmtId="0" fontId="6" fillId="0" borderId="10" xfId="0" applyFont="1" applyBorder="1"/>
    <xf numFmtId="14" fontId="6" fillId="0" borderId="9" xfId="0" applyNumberFormat="1" applyFont="1" applyFill="1" applyBorder="1"/>
    <xf numFmtId="0" fontId="0" fillId="13" borderId="3" xfId="0" applyFill="1" applyBorder="1"/>
    <xf numFmtId="0" fontId="0" fillId="2" borderId="1" xfId="1" applyFont="1"/>
    <xf numFmtId="14" fontId="0" fillId="2" borderId="1" xfId="1" applyNumberFormat="1" applyFont="1"/>
    <xf numFmtId="0" fontId="0" fillId="2" borderId="1" xfId="1" applyNumberFormat="1" applyFont="1"/>
    <xf numFmtId="2" fontId="0" fillId="2" borderId="1" xfId="1" applyNumberFormat="1" applyFont="1"/>
    <xf numFmtId="0" fontId="5" fillId="4" borderId="2" xfId="0" applyFont="1" applyFill="1" applyBorder="1" applyAlignment="1">
      <alignment horizontal="right"/>
    </xf>
    <xf numFmtId="0" fontId="5" fillId="10" borderId="2" xfId="0" applyFont="1" applyFill="1" applyBorder="1" applyAlignment="1">
      <alignment horizontal="right"/>
    </xf>
    <xf numFmtId="0" fontId="4" fillId="4" borderId="3" xfId="0" applyFont="1" applyFill="1" applyBorder="1"/>
    <xf numFmtId="0" fontId="4" fillId="3" borderId="3" xfId="0" applyFont="1" applyFill="1" applyBorder="1"/>
    <xf numFmtId="0" fontId="0" fillId="0" borderId="0" xfId="0" applyFont="1" applyFill="1" applyBorder="1"/>
    <xf numFmtId="14" fontId="6" fillId="0" borderId="0" xfId="0" applyNumberFormat="1" applyFont="1" applyFill="1" applyBorder="1"/>
    <xf numFmtId="0" fontId="0" fillId="0" borderId="0" xfId="0" applyBorder="1"/>
    <xf numFmtId="14" fontId="2" fillId="0" borderId="0" xfId="0" applyNumberFormat="1" applyFont="1" applyBorder="1"/>
    <xf numFmtId="0" fontId="7" fillId="0" borderId="0" xfId="0" applyFont="1" applyFill="1" applyBorder="1"/>
    <xf numFmtId="0" fontId="6" fillId="0" borderId="11" xfId="0" applyFont="1" applyFill="1" applyBorder="1"/>
    <xf numFmtId="14" fontId="0" fillId="0" borderId="0" xfId="0" applyNumberFormat="1" applyFont="1" applyFill="1" applyBorder="1"/>
  </cellXfs>
  <cellStyles count="2">
    <cellStyle name="Normal" xfId="0" builtinId="0"/>
    <cellStyle name="Note" xfId="1" builtinId="10"/>
  </cellStyles>
  <dxfs count="26">
    <dxf>
      <font>
        <color auto="1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000000"/>
          <bgColor rgb="FFE2EFDA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000000"/>
          <bgColor rgb="FFFFF2CC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000000"/>
          <bgColor rgb="FFE2EFDA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000000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U34" totalsRowShown="0">
  <autoFilter ref="A1:U34"/>
  <tableColumns count="21">
    <tableColumn id="1" name="Tinnitus group" dataDxfId="25"/>
    <tableColumn id="2" name="Details" dataDxfId="24"/>
    <tableColumn id="3" name="2" dataDxfId="23"/>
    <tableColumn id="4" name="3" dataDxfId="22"/>
    <tableColumn id="6" name="4" dataDxfId="21"/>
    <tableColumn id="7" name="5"/>
    <tableColumn id="8" name="6"/>
    <tableColumn id="9" name="7"/>
    <tableColumn id="10" name="8"/>
    <tableColumn id="11" name="9"/>
    <tableColumn id="12" name="10"/>
    <tableColumn id="13" name="11" dataDxfId="20"/>
    <tableColumn id="14" name="12" dataDxfId="19"/>
    <tableColumn id="15" name="13" dataDxfId="18"/>
    <tableColumn id="16" name="14" dataDxfId="17"/>
    <tableColumn id="17" name="15" dataDxfId="16"/>
    <tableColumn id="18" name="16" dataDxfId="15"/>
    <tableColumn id="19" name="17" dataDxfId="14"/>
    <tableColumn id="20" name="18" dataDxfId="13"/>
    <tableColumn id="21" name="19" dataDxfId="12"/>
    <tableColumn id="5" name="20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4" displayName="Table14" ref="A37:U60" totalsRowShown="0">
  <autoFilter ref="A37:U60"/>
  <tableColumns count="21">
    <tableColumn id="1" name="Control group" dataDxfId="10"/>
    <tableColumn id="2" name="Details" dataDxfId="9"/>
    <tableColumn id="3" name="1" dataDxfId="8"/>
    <tableColumn id="4" name="2" dataDxfId="7"/>
    <tableColumn id="6" name="3"/>
    <tableColumn id="7" name="4"/>
    <tableColumn id="8" name="5"/>
    <tableColumn id="9" name="6"/>
    <tableColumn id="10" name="7"/>
    <tableColumn id="11" name="8" dataDxfId="6"/>
    <tableColumn id="12" name="9"/>
    <tableColumn id="13" name="10"/>
    <tableColumn id="14" name="11" dataDxfId="5"/>
    <tableColumn id="15" name="12" dataDxfId="4"/>
    <tableColumn id="16" name="13" dataDxfId="3"/>
    <tableColumn id="17" name="14"/>
    <tableColumn id="18" name="15" dataDxfId="2"/>
    <tableColumn id="19" name="16" dataDxfId="1"/>
    <tableColumn id="20" name="17"/>
    <tableColumn id="21" name="18" dataDxfId="0"/>
    <tableColumn id="5" name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2"/>
  <sheetViews>
    <sheetView tabSelected="1" zoomScale="70" zoomScaleNormal="70" workbookViewId="0">
      <selection activeCell="X36" sqref="X36"/>
    </sheetView>
  </sheetViews>
  <sheetFormatPr defaultRowHeight="15" x14ac:dyDescent="0.25"/>
  <cols>
    <col min="1" max="1" width="27.140625" customWidth="1"/>
    <col min="2" max="2" width="64" customWidth="1"/>
    <col min="3" max="21" width="12.7109375" customWidth="1"/>
    <col min="22" max="22" width="10.5703125" customWidth="1"/>
    <col min="25" max="25" width="18.5703125" customWidth="1"/>
  </cols>
  <sheetData>
    <row r="1" spans="1:25" x14ac:dyDescent="0.25">
      <c r="A1" s="56" t="s">
        <v>0</v>
      </c>
      <c r="B1" s="55" t="s">
        <v>1</v>
      </c>
      <c r="C1" s="1" t="s">
        <v>3</v>
      </c>
      <c r="D1" s="2" t="s">
        <v>4</v>
      </c>
      <c r="E1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49" t="s">
        <v>108</v>
      </c>
    </row>
    <row r="2" spans="1:25" x14ac:dyDescent="0.25">
      <c r="A2" s="4" t="s">
        <v>22</v>
      </c>
      <c r="B2" s="5" t="s">
        <v>23</v>
      </c>
      <c r="C2" s="6">
        <v>45499</v>
      </c>
      <c r="D2" s="6">
        <v>45804</v>
      </c>
      <c r="E2" s="6">
        <v>45097</v>
      </c>
      <c r="F2" s="6">
        <v>45098</v>
      </c>
      <c r="G2" s="6">
        <v>45107</v>
      </c>
      <c r="H2" s="6">
        <v>45119</v>
      </c>
      <c r="I2" s="6">
        <v>45117</v>
      </c>
      <c r="J2" s="6">
        <v>45128</v>
      </c>
      <c r="K2" s="6">
        <v>45140</v>
      </c>
      <c r="L2" s="6">
        <v>45441</v>
      </c>
      <c r="M2" s="6">
        <v>45464</v>
      </c>
      <c r="N2" s="6">
        <v>45471</v>
      </c>
      <c r="O2" s="6">
        <v>45471</v>
      </c>
      <c r="P2" s="6">
        <v>45474</v>
      </c>
      <c r="Q2" s="6">
        <v>45475</v>
      </c>
      <c r="R2" s="6">
        <v>45485</v>
      </c>
      <c r="S2" s="6">
        <v>45797</v>
      </c>
      <c r="T2" s="6">
        <v>45548</v>
      </c>
      <c r="U2" s="6">
        <v>45546</v>
      </c>
      <c r="V2" s="49"/>
      <c r="Y2" s="59"/>
    </row>
    <row r="3" spans="1:25" x14ac:dyDescent="0.25">
      <c r="A3" s="7"/>
      <c r="B3" s="5" t="s">
        <v>24</v>
      </c>
      <c r="C3" s="3">
        <v>59</v>
      </c>
      <c r="D3" s="3">
        <v>21</v>
      </c>
      <c r="E3" s="3">
        <v>44</v>
      </c>
      <c r="F3">
        <v>63</v>
      </c>
      <c r="G3">
        <v>65</v>
      </c>
      <c r="H3">
        <v>65</v>
      </c>
      <c r="I3">
        <v>60</v>
      </c>
      <c r="J3">
        <v>46</v>
      </c>
      <c r="K3">
        <v>58</v>
      </c>
      <c r="L3" s="3">
        <v>38</v>
      </c>
      <c r="M3" s="3">
        <v>37</v>
      </c>
      <c r="N3" s="3">
        <v>40</v>
      </c>
      <c r="O3" s="3">
        <v>60</v>
      </c>
      <c r="P3" s="3">
        <v>58</v>
      </c>
      <c r="Q3" s="3">
        <v>43</v>
      </c>
      <c r="R3" s="3">
        <v>27</v>
      </c>
      <c r="S3" s="3">
        <v>27</v>
      </c>
      <c r="T3" s="3">
        <v>27</v>
      </c>
      <c r="U3" s="3">
        <v>55</v>
      </c>
      <c r="V3" s="49">
        <f>AVERAGE(C3:U3)</f>
        <v>47</v>
      </c>
      <c r="Y3" s="59"/>
    </row>
    <row r="4" spans="1:25" x14ac:dyDescent="0.25">
      <c r="A4" s="7"/>
      <c r="B4" s="5" t="s">
        <v>25</v>
      </c>
      <c r="C4" s="3" t="s">
        <v>27</v>
      </c>
      <c r="D4" s="3" t="s">
        <v>26</v>
      </c>
      <c r="E4" s="3" t="s">
        <v>26</v>
      </c>
      <c r="F4" t="s">
        <v>28</v>
      </c>
      <c r="G4" t="s">
        <v>26</v>
      </c>
      <c r="H4" t="s">
        <v>26</v>
      </c>
      <c r="I4" t="s">
        <v>26</v>
      </c>
      <c r="J4" t="s">
        <v>26</v>
      </c>
      <c r="K4" t="s">
        <v>26</v>
      </c>
      <c r="L4" s="3" t="s">
        <v>28</v>
      </c>
      <c r="M4" s="3" t="s">
        <v>28</v>
      </c>
      <c r="N4" s="3" t="s">
        <v>26</v>
      </c>
      <c r="O4" s="3" t="s">
        <v>28</v>
      </c>
      <c r="P4" s="3" t="s">
        <v>28</v>
      </c>
      <c r="Q4" s="3" t="s">
        <v>26</v>
      </c>
      <c r="R4" s="3" t="s">
        <v>28</v>
      </c>
      <c r="S4" s="3" t="s">
        <v>26</v>
      </c>
      <c r="T4" s="3" t="s">
        <v>28</v>
      </c>
      <c r="U4" s="3" t="s">
        <v>28</v>
      </c>
      <c r="V4" s="49" t="s">
        <v>94</v>
      </c>
      <c r="Y4" s="37"/>
    </row>
    <row r="5" spans="1:25" x14ac:dyDescent="0.25">
      <c r="A5" s="7"/>
      <c r="B5" s="5" t="s">
        <v>29</v>
      </c>
      <c r="C5" s="3" t="s">
        <v>30</v>
      </c>
      <c r="D5" s="3" t="s">
        <v>31</v>
      </c>
      <c r="E5" s="3" t="s">
        <v>30</v>
      </c>
      <c r="F5" t="s">
        <v>30</v>
      </c>
      <c r="G5" t="s">
        <v>32</v>
      </c>
      <c r="H5" t="s">
        <v>30</v>
      </c>
      <c r="I5" t="s">
        <v>30</v>
      </c>
      <c r="J5" t="s">
        <v>33</v>
      </c>
      <c r="K5" t="s">
        <v>30</v>
      </c>
      <c r="L5" s="3" t="s">
        <v>30</v>
      </c>
      <c r="M5" s="3" t="s">
        <v>30</v>
      </c>
      <c r="N5" s="3" t="s">
        <v>31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49" t="s">
        <v>119</v>
      </c>
      <c r="Y5" s="60"/>
    </row>
    <row r="6" spans="1:25" x14ac:dyDescent="0.25">
      <c r="A6" s="7"/>
      <c r="B6" s="5" t="s">
        <v>109</v>
      </c>
      <c r="C6" s="3">
        <v>2</v>
      </c>
      <c r="D6" s="3">
        <v>15</v>
      </c>
      <c r="E6" s="3">
        <v>2</v>
      </c>
      <c r="F6">
        <v>0.5</v>
      </c>
      <c r="G6">
        <v>2</v>
      </c>
      <c r="H6">
        <v>0.91669999999999996</v>
      </c>
      <c r="I6">
        <v>3</v>
      </c>
      <c r="J6">
        <v>11</v>
      </c>
      <c r="K6">
        <v>20</v>
      </c>
      <c r="L6" s="3">
        <v>20</v>
      </c>
      <c r="M6" s="3">
        <v>0.75</v>
      </c>
      <c r="N6" s="3">
        <v>3</v>
      </c>
      <c r="O6" s="3">
        <v>15</v>
      </c>
      <c r="P6" s="3">
        <v>20</v>
      </c>
      <c r="Q6" s="3">
        <v>0.5</v>
      </c>
      <c r="R6" s="3">
        <v>3</v>
      </c>
      <c r="S6" s="3">
        <v>3</v>
      </c>
      <c r="T6" s="3">
        <v>6</v>
      </c>
      <c r="U6" s="3">
        <v>2</v>
      </c>
      <c r="V6" s="49">
        <f>AVERAGE(C6:U6)</f>
        <v>6.8245631578947368</v>
      </c>
      <c r="Y6" s="37"/>
    </row>
    <row r="7" spans="1:25" x14ac:dyDescent="0.25">
      <c r="A7" s="7"/>
      <c r="B7" s="5" t="s">
        <v>34</v>
      </c>
      <c r="C7" s="3" t="s">
        <v>36</v>
      </c>
      <c r="D7" s="3" t="s">
        <v>37</v>
      </c>
      <c r="E7" s="3" t="s">
        <v>38</v>
      </c>
      <c r="F7" t="s">
        <v>36</v>
      </c>
      <c r="G7" t="s">
        <v>39</v>
      </c>
      <c r="H7" t="s">
        <v>40</v>
      </c>
      <c r="I7" t="s">
        <v>41</v>
      </c>
      <c r="J7" t="s">
        <v>38</v>
      </c>
      <c r="K7" t="s">
        <v>41</v>
      </c>
      <c r="L7" s="3" t="s">
        <v>41</v>
      </c>
      <c r="M7" s="3" t="s">
        <v>37</v>
      </c>
      <c r="N7" s="3" t="s">
        <v>35</v>
      </c>
      <c r="O7" s="3" t="s">
        <v>35</v>
      </c>
      <c r="P7" s="3" t="s">
        <v>38</v>
      </c>
      <c r="Q7" s="3" t="s">
        <v>35</v>
      </c>
      <c r="R7" s="3" t="s">
        <v>36</v>
      </c>
      <c r="S7" s="3" t="s">
        <v>35</v>
      </c>
      <c r="T7" s="3" t="s">
        <v>40</v>
      </c>
      <c r="U7" s="3" t="s">
        <v>42</v>
      </c>
      <c r="V7" s="49"/>
      <c r="Y7" s="37"/>
    </row>
    <row r="8" spans="1:25" x14ac:dyDescent="0.25">
      <c r="A8" s="7"/>
      <c r="B8" s="5" t="s">
        <v>43</v>
      </c>
      <c r="C8" s="3" t="s">
        <v>45</v>
      </c>
      <c r="D8" s="3" t="s">
        <v>46</v>
      </c>
      <c r="E8" s="3" t="s">
        <v>47</v>
      </c>
      <c r="F8" t="s">
        <v>48</v>
      </c>
      <c r="G8" t="s">
        <v>49</v>
      </c>
      <c r="H8" t="s">
        <v>50</v>
      </c>
      <c r="I8" t="s">
        <v>47</v>
      </c>
      <c r="J8" t="s">
        <v>51</v>
      </c>
      <c r="K8" t="s">
        <v>44</v>
      </c>
      <c r="L8" s="3" t="s">
        <v>47</v>
      </c>
      <c r="M8" s="3" t="s">
        <v>44</v>
      </c>
      <c r="N8" s="3" t="s">
        <v>44</v>
      </c>
      <c r="O8" s="3" t="s">
        <v>52</v>
      </c>
      <c r="P8" s="3" t="s">
        <v>53</v>
      </c>
      <c r="Q8" s="3" t="s">
        <v>49</v>
      </c>
      <c r="R8" s="3" t="s">
        <v>54</v>
      </c>
      <c r="S8" s="3" t="s">
        <v>48</v>
      </c>
      <c r="T8" s="3" t="s">
        <v>44</v>
      </c>
      <c r="U8" s="3" t="s">
        <v>44</v>
      </c>
      <c r="V8" s="49"/>
      <c r="Y8" s="58"/>
    </row>
    <row r="9" spans="1:25" x14ac:dyDescent="0.25">
      <c r="A9" s="7"/>
      <c r="B9" s="5" t="s">
        <v>55</v>
      </c>
      <c r="C9" s="3">
        <v>4</v>
      </c>
      <c r="D9" s="3">
        <v>6</v>
      </c>
      <c r="E9" s="3">
        <v>4</v>
      </c>
      <c r="F9">
        <v>3</v>
      </c>
      <c r="G9">
        <v>5</v>
      </c>
      <c r="H9">
        <v>8</v>
      </c>
      <c r="I9">
        <v>5</v>
      </c>
      <c r="J9">
        <v>5</v>
      </c>
      <c r="K9">
        <v>9.5</v>
      </c>
      <c r="L9" s="3">
        <v>5</v>
      </c>
      <c r="M9" s="3">
        <v>4</v>
      </c>
      <c r="N9" s="3">
        <v>3</v>
      </c>
      <c r="O9" s="3">
        <v>5</v>
      </c>
      <c r="P9" s="3">
        <v>7</v>
      </c>
      <c r="Q9" s="3">
        <v>3</v>
      </c>
      <c r="R9" s="3">
        <v>5</v>
      </c>
      <c r="S9" s="3">
        <v>3</v>
      </c>
      <c r="T9" s="3">
        <v>5</v>
      </c>
      <c r="U9" s="3">
        <v>3</v>
      </c>
      <c r="V9" s="49">
        <f t="shared" ref="V9:V33" si="0">AVERAGE(C9:U9)</f>
        <v>4.8684210526315788</v>
      </c>
      <c r="Y9" s="58"/>
    </row>
    <row r="10" spans="1:25" x14ac:dyDescent="0.25">
      <c r="A10" s="7"/>
      <c r="B10" s="5" t="s">
        <v>56</v>
      </c>
      <c r="C10" s="3" t="s">
        <v>58</v>
      </c>
      <c r="D10" s="3" t="s">
        <v>57</v>
      </c>
      <c r="E10" s="3" t="s">
        <v>57</v>
      </c>
      <c r="F10" t="s">
        <v>58</v>
      </c>
      <c r="G10" t="s">
        <v>59</v>
      </c>
      <c r="H10" t="s">
        <v>57</v>
      </c>
      <c r="I10" t="s">
        <v>57</v>
      </c>
      <c r="J10" t="s">
        <v>57</v>
      </c>
      <c r="K10" t="s">
        <v>58</v>
      </c>
      <c r="L10" s="3" t="s">
        <v>58</v>
      </c>
      <c r="M10" s="3" t="s">
        <v>57</v>
      </c>
      <c r="N10" s="3" t="s">
        <v>57</v>
      </c>
      <c r="O10" s="3" t="s">
        <v>57</v>
      </c>
      <c r="P10" s="3" t="s">
        <v>57</v>
      </c>
      <c r="Q10" s="3" t="s">
        <v>58</v>
      </c>
      <c r="R10" s="3" t="s">
        <v>57</v>
      </c>
      <c r="S10" s="3" t="s">
        <v>58</v>
      </c>
      <c r="T10" s="3" t="s">
        <v>57</v>
      </c>
      <c r="U10" s="3" t="s">
        <v>58</v>
      </c>
      <c r="V10" s="49"/>
      <c r="Y10" s="58"/>
    </row>
    <row r="11" spans="1:25" x14ac:dyDescent="0.25">
      <c r="A11" s="7"/>
      <c r="B11" s="5" t="s">
        <v>60</v>
      </c>
      <c r="C11" s="3">
        <v>4</v>
      </c>
      <c r="D11" s="3">
        <v>6</v>
      </c>
      <c r="E11" s="3">
        <v>4</v>
      </c>
      <c r="F11">
        <v>3</v>
      </c>
      <c r="G11">
        <v>3</v>
      </c>
      <c r="H11">
        <v>1</v>
      </c>
      <c r="I11">
        <v>5</v>
      </c>
      <c r="J11">
        <v>5</v>
      </c>
      <c r="K11">
        <v>9.5</v>
      </c>
      <c r="L11" s="3">
        <v>2</v>
      </c>
      <c r="M11" s="3">
        <v>4</v>
      </c>
      <c r="N11" s="3">
        <v>3</v>
      </c>
      <c r="O11" s="3">
        <v>6</v>
      </c>
      <c r="P11" s="3">
        <v>7</v>
      </c>
      <c r="Q11" s="3">
        <v>3</v>
      </c>
      <c r="R11" s="3">
        <v>5</v>
      </c>
      <c r="S11" s="3">
        <v>3</v>
      </c>
      <c r="T11" s="3">
        <v>4</v>
      </c>
      <c r="U11" s="3">
        <v>3</v>
      </c>
      <c r="V11" s="49">
        <f t="shared" si="0"/>
        <v>4.2368421052631575</v>
      </c>
      <c r="Y11" s="58"/>
    </row>
    <row r="12" spans="1:25" x14ac:dyDescent="0.25">
      <c r="A12" s="7"/>
      <c r="B12" s="5" t="s">
        <v>61</v>
      </c>
      <c r="C12" s="3">
        <v>2</v>
      </c>
      <c r="D12" s="3">
        <v>4</v>
      </c>
      <c r="E12" s="3">
        <v>3</v>
      </c>
      <c r="F12">
        <v>3</v>
      </c>
      <c r="G12">
        <v>2</v>
      </c>
      <c r="H12">
        <v>3</v>
      </c>
      <c r="I12">
        <v>7</v>
      </c>
      <c r="J12">
        <v>3</v>
      </c>
      <c r="K12">
        <v>6</v>
      </c>
      <c r="L12" s="3">
        <v>1</v>
      </c>
      <c r="M12" s="3">
        <v>6</v>
      </c>
      <c r="N12" s="3">
        <v>3</v>
      </c>
      <c r="O12" s="3">
        <v>4</v>
      </c>
      <c r="P12" s="3">
        <v>3</v>
      </c>
      <c r="Q12" s="3">
        <v>4</v>
      </c>
      <c r="R12" s="3">
        <v>2</v>
      </c>
      <c r="S12" s="3">
        <v>4</v>
      </c>
      <c r="T12" s="3">
        <v>7</v>
      </c>
      <c r="U12" s="3">
        <v>2</v>
      </c>
      <c r="V12" s="49">
        <f t="shared" si="0"/>
        <v>3.6315789473684212</v>
      </c>
      <c r="Y12" s="58"/>
    </row>
    <row r="13" spans="1:25" x14ac:dyDescent="0.25">
      <c r="A13" s="7"/>
      <c r="B13" s="5" t="s">
        <v>62</v>
      </c>
      <c r="C13" s="3">
        <v>50</v>
      </c>
      <c r="D13" s="3">
        <v>60</v>
      </c>
      <c r="E13" s="3">
        <v>20</v>
      </c>
      <c r="F13" s="8">
        <v>0.6</v>
      </c>
      <c r="G13" s="8">
        <v>0.5</v>
      </c>
      <c r="H13">
        <v>6</v>
      </c>
      <c r="I13">
        <v>70</v>
      </c>
      <c r="J13">
        <v>50</v>
      </c>
      <c r="K13">
        <v>60</v>
      </c>
      <c r="L13" s="3">
        <v>50</v>
      </c>
      <c r="M13" s="3">
        <v>50</v>
      </c>
      <c r="N13" s="3">
        <v>80</v>
      </c>
      <c r="O13" s="3">
        <v>60</v>
      </c>
      <c r="P13" s="3">
        <v>30</v>
      </c>
      <c r="Q13" s="3">
        <v>30</v>
      </c>
      <c r="R13" s="3">
        <v>10</v>
      </c>
      <c r="S13" s="3">
        <v>50</v>
      </c>
      <c r="T13" s="3">
        <v>45</v>
      </c>
      <c r="U13" s="3">
        <v>5</v>
      </c>
      <c r="V13" s="49">
        <f t="shared" si="0"/>
        <v>38.268421052631581</v>
      </c>
      <c r="Y13" s="58"/>
    </row>
    <row r="14" spans="1:25" x14ac:dyDescent="0.25">
      <c r="A14" s="7"/>
      <c r="B14" s="5" t="s">
        <v>63</v>
      </c>
      <c r="C14" s="3" t="s">
        <v>58</v>
      </c>
      <c r="D14" s="3" t="s">
        <v>64</v>
      </c>
      <c r="E14" s="3" t="s">
        <v>57</v>
      </c>
      <c r="F14" t="s">
        <v>57</v>
      </c>
      <c r="G14" t="s">
        <v>58</v>
      </c>
      <c r="H14" t="s">
        <v>65</v>
      </c>
      <c r="I14" t="s">
        <v>66</v>
      </c>
      <c r="J14" t="s">
        <v>58</v>
      </c>
      <c r="K14" t="s">
        <v>67</v>
      </c>
      <c r="L14" s="3" t="s">
        <v>58</v>
      </c>
      <c r="M14" s="3" t="s">
        <v>68</v>
      </c>
      <c r="N14" s="3" t="s">
        <v>69</v>
      </c>
      <c r="O14" s="3" t="s">
        <v>58</v>
      </c>
      <c r="P14" s="3" t="s">
        <v>57</v>
      </c>
      <c r="Q14" s="3" t="s">
        <v>70</v>
      </c>
      <c r="R14" s="3" t="s">
        <v>57</v>
      </c>
      <c r="S14" s="3" t="s">
        <v>71</v>
      </c>
      <c r="T14" s="3" t="s">
        <v>57</v>
      </c>
      <c r="U14" s="3" t="s">
        <v>57</v>
      </c>
      <c r="V14" s="49"/>
      <c r="Y14" s="58"/>
    </row>
    <row r="15" spans="1:25" x14ac:dyDescent="0.25">
      <c r="A15" s="4" t="s">
        <v>72</v>
      </c>
      <c r="B15" s="9"/>
      <c r="C15" s="11"/>
      <c r="D15" s="11">
        <v>20</v>
      </c>
      <c r="E15" s="11">
        <v>28</v>
      </c>
      <c r="F15" s="10"/>
      <c r="G15" s="10">
        <v>2</v>
      </c>
      <c r="H15" s="10">
        <v>12</v>
      </c>
      <c r="I15" s="10">
        <v>64</v>
      </c>
      <c r="J15" s="10"/>
      <c r="K15" s="10">
        <v>60</v>
      </c>
      <c r="L15" s="11">
        <v>0</v>
      </c>
      <c r="M15" s="11">
        <v>36</v>
      </c>
      <c r="N15" s="11">
        <v>16</v>
      </c>
      <c r="O15" s="11">
        <v>14</v>
      </c>
      <c r="P15" s="11">
        <v>26</v>
      </c>
      <c r="Q15" s="11">
        <v>26</v>
      </c>
      <c r="R15" s="11">
        <v>16</v>
      </c>
      <c r="S15" s="11">
        <v>12</v>
      </c>
      <c r="T15" s="11">
        <v>56</v>
      </c>
      <c r="U15" s="11">
        <v>8</v>
      </c>
      <c r="V15" s="49">
        <f t="shared" si="0"/>
        <v>24.75</v>
      </c>
      <c r="Y15" s="58"/>
    </row>
    <row r="16" spans="1:25" x14ac:dyDescent="0.25">
      <c r="A16" s="4" t="s">
        <v>73</v>
      </c>
      <c r="B16" s="12"/>
      <c r="C16" s="14"/>
      <c r="D16" s="14">
        <v>17</v>
      </c>
      <c r="E16" s="14">
        <v>24</v>
      </c>
      <c r="F16" s="13"/>
      <c r="G16" s="13">
        <v>6</v>
      </c>
      <c r="H16" s="13">
        <v>12</v>
      </c>
      <c r="I16" s="13">
        <v>9</v>
      </c>
      <c r="J16" s="13"/>
      <c r="K16" s="15">
        <v>22</v>
      </c>
      <c r="L16" s="14">
        <v>0</v>
      </c>
      <c r="M16" s="14">
        <v>11</v>
      </c>
      <c r="N16" s="14">
        <v>6</v>
      </c>
      <c r="O16" s="14">
        <v>7</v>
      </c>
      <c r="P16" s="15">
        <v>20</v>
      </c>
      <c r="Q16" s="14">
        <v>12</v>
      </c>
      <c r="R16" s="14">
        <v>9</v>
      </c>
      <c r="S16" s="14">
        <v>2</v>
      </c>
      <c r="T16" s="15">
        <v>21</v>
      </c>
      <c r="U16" s="14">
        <v>7</v>
      </c>
      <c r="V16" s="49">
        <f t="shared" si="0"/>
        <v>11.5625</v>
      </c>
      <c r="Y16" s="58"/>
    </row>
    <row r="17" spans="1:25" x14ac:dyDescent="0.25">
      <c r="A17" s="4" t="s">
        <v>74</v>
      </c>
      <c r="B17" s="12"/>
      <c r="C17" s="17"/>
      <c r="D17" s="17">
        <v>51</v>
      </c>
      <c r="E17" s="17">
        <v>49</v>
      </c>
      <c r="F17" s="16"/>
      <c r="G17" s="16">
        <v>29</v>
      </c>
      <c r="H17" s="16">
        <v>44</v>
      </c>
      <c r="I17" s="16">
        <v>42</v>
      </c>
      <c r="J17" s="16"/>
      <c r="K17" s="16">
        <v>52</v>
      </c>
      <c r="L17" s="17">
        <v>28</v>
      </c>
      <c r="M17" s="17">
        <v>45</v>
      </c>
      <c r="N17" s="17">
        <v>31</v>
      </c>
      <c r="O17" s="17">
        <v>36</v>
      </c>
      <c r="P17" s="17">
        <v>46</v>
      </c>
      <c r="Q17" s="17">
        <v>37</v>
      </c>
      <c r="R17" s="17">
        <v>32</v>
      </c>
      <c r="S17" s="17">
        <v>26</v>
      </c>
      <c r="T17" s="18">
        <v>63</v>
      </c>
      <c r="U17" s="17">
        <v>32</v>
      </c>
      <c r="V17" s="49">
        <f t="shared" si="0"/>
        <v>40.1875</v>
      </c>
      <c r="Y17" s="58"/>
    </row>
    <row r="18" spans="1:25" x14ac:dyDescent="0.25">
      <c r="A18" s="19" t="s">
        <v>75</v>
      </c>
      <c r="B18" s="19" t="s">
        <v>76</v>
      </c>
      <c r="C18" s="21"/>
      <c r="D18" s="21"/>
      <c r="E18" s="21"/>
      <c r="F18" s="20"/>
      <c r="G18" s="20"/>
      <c r="H18" s="20"/>
      <c r="I18" s="20"/>
      <c r="J18" s="20"/>
      <c r="K18" s="20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49"/>
      <c r="Y18" s="31"/>
    </row>
    <row r="19" spans="1:25" x14ac:dyDescent="0.25">
      <c r="A19" s="7"/>
      <c r="B19" s="53" t="s">
        <v>77</v>
      </c>
      <c r="C19" s="3">
        <v>5</v>
      </c>
      <c r="D19" s="3">
        <v>10</v>
      </c>
      <c r="E19" s="3">
        <v>5</v>
      </c>
      <c r="F19">
        <v>0</v>
      </c>
      <c r="G19">
        <v>10</v>
      </c>
      <c r="H19">
        <v>15</v>
      </c>
      <c r="I19">
        <v>15</v>
      </c>
      <c r="J19">
        <v>10</v>
      </c>
      <c r="K19">
        <v>15</v>
      </c>
      <c r="L19" s="3">
        <v>5</v>
      </c>
      <c r="M19" s="3">
        <v>5</v>
      </c>
      <c r="N19" s="3">
        <v>10</v>
      </c>
      <c r="O19" s="3">
        <v>10</v>
      </c>
      <c r="P19" s="3">
        <v>10</v>
      </c>
      <c r="Q19" s="3">
        <v>15</v>
      </c>
      <c r="R19" s="3">
        <v>0</v>
      </c>
      <c r="S19" s="3">
        <v>5</v>
      </c>
      <c r="T19" s="3">
        <v>-5</v>
      </c>
      <c r="U19" s="3">
        <v>15</v>
      </c>
      <c r="V19" s="49">
        <f t="shared" si="0"/>
        <v>8.1578947368421044</v>
      </c>
      <c r="Y19" s="58"/>
    </row>
    <row r="20" spans="1:25" x14ac:dyDescent="0.25">
      <c r="A20" s="7"/>
      <c r="B20" s="53" t="s">
        <v>78</v>
      </c>
      <c r="C20" s="3">
        <v>10</v>
      </c>
      <c r="D20" s="3">
        <v>15</v>
      </c>
      <c r="E20" s="3">
        <v>15</v>
      </c>
      <c r="F20">
        <v>5</v>
      </c>
      <c r="G20">
        <v>20</v>
      </c>
      <c r="H20">
        <v>10</v>
      </c>
      <c r="I20">
        <v>15</v>
      </c>
      <c r="J20">
        <v>10</v>
      </c>
      <c r="K20">
        <v>10</v>
      </c>
      <c r="L20" s="3">
        <v>5</v>
      </c>
      <c r="M20" s="3">
        <v>5</v>
      </c>
      <c r="N20" s="3">
        <v>10</v>
      </c>
      <c r="O20" s="3">
        <v>10</v>
      </c>
      <c r="P20" s="3">
        <v>10</v>
      </c>
      <c r="Q20" s="3">
        <v>15</v>
      </c>
      <c r="R20" s="3">
        <v>0</v>
      </c>
      <c r="S20" s="3">
        <v>0</v>
      </c>
      <c r="T20" s="3">
        <v>5</v>
      </c>
      <c r="U20" s="3">
        <v>15</v>
      </c>
      <c r="V20" s="49">
        <f t="shared" si="0"/>
        <v>9.7368421052631575</v>
      </c>
      <c r="Y20" s="31"/>
    </row>
    <row r="21" spans="1:25" x14ac:dyDescent="0.25">
      <c r="A21" s="23"/>
      <c r="B21" s="54" t="s">
        <v>79</v>
      </c>
      <c r="C21" s="3">
        <v>20</v>
      </c>
      <c r="D21" s="3">
        <v>5</v>
      </c>
      <c r="E21" s="3">
        <v>5</v>
      </c>
      <c r="F21">
        <v>15</v>
      </c>
      <c r="G21">
        <v>30</v>
      </c>
      <c r="H21">
        <v>10</v>
      </c>
      <c r="I21">
        <v>25</v>
      </c>
      <c r="J21">
        <v>5</v>
      </c>
      <c r="K21">
        <v>5</v>
      </c>
      <c r="L21" s="24">
        <v>0</v>
      </c>
      <c r="M21" s="3">
        <v>0</v>
      </c>
      <c r="N21" s="3">
        <v>5</v>
      </c>
      <c r="O21" s="3">
        <v>10</v>
      </c>
      <c r="P21" s="3">
        <v>20</v>
      </c>
      <c r="Q21" s="3">
        <v>15</v>
      </c>
      <c r="R21" s="3">
        <v>5</v>
      </c>
      <c r="S21" s="3">
        <v>0</v>
      </c>
      <c r="T21" s="3">
        <v>5</v>
      </c>
      <c r="U21" s="3">
        <v>0</v>
      </c>
      <c r="V21" s="49">
        <f t="shared" si="0"/>
        <v>9.473684210526315</v>
      </c>
      <c r="Y21" s="58"/>
    </row>
    <row r="22" spans="1:25" x14ac:dyDescent="0.25">
      <c r="A22" s="7"/>
      <c r="B22" s="53" t="s">
        <v>80</v>
      </c>
      <c r="C22" s="3">
        <v>20</v>
      </c>
      <c r="D22" s="3">
        <v>-5</v>
      </c>
      <c r="E22" s="3">
        <v>10</v>
      </c>
      <c r="F22">
        <v>25</v>
      </c>
      <c r="G22">
        <v>15</v>
      </c>
      <c r="H22">
        <v>40</v>
      </c>
      <c r="I22">
        <v>45</v>
      </c>
      <c r="J22">
        <v>5</v>
      </c>
      <c r="K22">
        <v>5</v>
      </c>
      <c r="L22" s="3">
        <v>10</v>
      </c>
      <c r="M22" s="3">
        <v>5</v>
      </c>
      <c r="N22" s="3">
        <v>5</v>
      </c>
      <c r="O22" s="3">
        <v>35</v>
      </c>
      <c r="P22" s="3">
        <v>25</v>
      </c>
      <c r="Q22" s="3">
        <v>20</v>
      </c>
      <c r="R22" s="3">
        <v>0</v>
      </c>
      <c r="S22" s="3">
        <v>0</v>
      </c>
      <c r="T22" s="3">
        <v>-5</v>
      </c>
      <c r="U22" s="3">
        <v>15</v>
      </c>
      <c r="V22" s="49">
        <f t="shared" si="0"/>
        <v>14.210526315789474</v>
      </c>
      <c r="Y22" s="31"/>
    </row>
    <row r="23" spans="1:25" x14ac:dyDescent="0.25">
      <c r="A23" s="7"/>
      <c r="B23" s="53" t="s">
        <v>81</v>
      </c>
      <c r="C23" s="3">
        <v>25</v>
      </c>
      <c r="D23" s="3">
        <v>-5</v>
      </c>
      <c r="E23" s="3">
        <v>15</v>
      </c>
      <c r="F23">
        <v>20</v>
      </c>
      <c r="G23">
        <v>20</v>
      </c>
      <c r="H23">
        <v>50</v>
      </c>
      <c r="I23">
        <v>45</v>
      </c>
      <c r="J23">
        <v>10</v>
      </c>
      <c r="K23">
        <v>5</v>
      </c>
      <c r="L23" s="3">
        <v>5</v>
      </c>
      <c r="M23" s="3">
        <v>15</v>
      </c>
      <c r="N23" s="3">
        <v>20</v>
      </c>
      <c r="O23" s="3">
        <v>40</v>
      </c>
      <c r="P23" s="3">
        <v>25</v>
      </c>
      <c r="Q23" s="3">
        <v>15</v>
      </c>
      <c r="R23" s="3">
        <v>0</v>
      </c>
      <c r="S23" s="3">
        <v>-10</v>
      </c>
      <c r="T23" s="3">
        <v>-5</v>
      </c>
      <c r="U23" s="3">
        <v>35</v>
      </c>
      <c r="V23" s="49">
        <f t="shared" si="0"/>
        <v>17.105263157894736</v>
      </c>
      <c r="Y23" s="31"/>
    </row>
    <row r="24" spans="1:25" x14ac:dyDescent="0.25">
      <c r="A24" s="7"/>
      <c r="B24" s="53" t="s">
        <v>82</v>
      </c>
      <c r="C24" s="3">
        <v>25</v>
      </c>
      <c r="D24" s="3">
        <v>30</v>
      </c>
      <c r="E24" s="3">
        <v>20</v>
      </c>
      <c r="F24">
        <v>35</v>
      </c>
      <c r="G24">
        <v>15</v>
      </c>
      <c r="H24">
        <v>55</v>
      </c>
      <c r="I24">
        <v>60</v>
      </c>
      <c r="J24">
        <v>30</v>
      </c>
      <c r="K24">
        <v>40</v>
      </c>
      <c r="L24" s="3">
        <v>15</v>
      </c>
      <c r="M24" s="3">
        <v>40</v>
      </c>
      <c r="N24" s="3">
        <v>20</v>
      </c>
      <c r="O24" s="3">
        <v>70</v>
      </c>
      <c r="P24" s="3">
        <v>40</v>
      </c>
      <c r="Q24" s="3">
        <v>10</v>
      </c>
      <c r="R24" s="3">
        <v>10</v>
      </c>
      <c r="S24" s="3">
        <v>5</v>
      </c>
      <c r="T24" s="3">
        <v>5</v>
      </c>
      <c r="U24" s="3">
        <v>55</v>
      </c>
      <c r="V24" s="49">
        <f t="shared" si="0"/>
        <v>30.526315789473685</v>
      </c>
      <c r="Y24" s="31"/>
    </row>
    <row r="25" spans="1:25" x14ac:dyDescent="0.25">
      <c r="A25" s="7"/>
      <c r="B25" s="53" t="s">
        <v>83</v>
      </c>
      <c r="C25" s="3">
        <v>40</v>
      </c>
      <c r="D25" s="3">
        <v>10</v>
      </c>
      <c r="E25" s="3">
        <v>25</v>
      </c>
      <c r="F25">
        <v>55</v>
      </c>
      <c r="G25">
        <v>15</v>
      </c>
      <c r="H25">
        <v>50</v>
      </c>
      <c r="I25">
        <v>60</v>
      </c>
      <c r="J25">
        <v>10</v>
      </c>
      <c r="K25">
        <v>30</v>
      </c>
      <c r="L25" s="3">
        <v>25</v>
      </c>
      <c r="M25" s="3">
        <v>35</v>
      </c>
      <c r="N25" s="3">
        <v>20</v>
      </c>
      <c r="O25" s="3">
        <v>80</v>
      </c>
      <c r="P25" s="3">
        <v>15</v>
      </c>
      <c r="Q25" s="3">
        <v>10</v>
      </c>
      <c r="R25" s="3">
        <v>5</v>
      </c>
      <c r="S25" s="3">
        <v>0</v>
      </c>
      <c r="T25" s="3">
        <v>0</v>
      </c>
      <c r="U25" s="3">
        <v>50</v>
      </c>
      <c r="V25" s="49">
        <f t="shared" si="0"/>
        <v>28.157894736842106</v>
      </c>
      <c r="Y25" s="31"/>
    </row>
    <row r="26" spans="1:25" x14ac:dyDescent="0.25">
      <c r="A26" s="25"/>
      <c r="B26" s="19" t="s">
        <v>84</v>
      </c>
      <c r="C26" s="21"/>
      <c r="D26" s="21"/>
      <c r="E26" s="21"/>
      <c r="F26" s="20"/>
      <c r="G26" s="20"/>
      <c r="H26" s="20"/>
      <c r="I26" s="20"/>
      <c r="J26" s="20"/>
      <c r="K26" s="20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49"/>
      <c r="Y26" s="31"/>
    </row>
    <row r="27" spans="1:25" x14ac:dyDescent="0.25">
      <c r="A27" s="7"/>
      <c r="B27" s="53" t="s">
        <v>77</v>
      </c>
      <c r="C27" s="3">
        <v>5</v>
      </c>
      <c r="D27" s="3">
        <v>15</v>
      </c>
      <c r="E27" s="3">
        <v>10</v>
      </c>
      <c r="F27">
        <v>5</v>
      </c>
      <c r="G27">
        <v>5</v>
      </c>
      <c r="H27">
        <v>20</v>
      </c>
      <c r="I27">
        <v>5</v>
      </c>
      <c r="J27">
        <v>15</v>
      </c>
      <c r="K27">
        <v>15</v>
      </c>
      <c r="L27" s="3">
        <v>5</v>
      </c>
      <c r="M27" s="3">
        <v>5</v>
      </c>
      <c r="N27" s="3">
        <v>15</v>
      </c>
      <c r="O27" s="3">
        <v>5</v>
      </c>
      <c r="P27" s="3">
        <v>5</v>
      </c>
      <c r="Q27" s="3">
        <v>15</v>
      </c>
      <c r="R27" s="3">
        <v>10</v>
      </c>
      <c r="S27" s="3">
        <v>10</v>
      </c>
      <c r="T27" s="3">
        <v>0</v>
      </c>
      <c r="U27" s="3">
        <v>5</v>
      </c>
      <c r="V27" s="49">
        <f t="shared" si="0"/>
        <v>8.9473684210526319</v>
      </c>
      <c r="Y27" s="31"/>
    </row>
    <row r="28" spans="1:25" x14ac:dyDescent="0.25">
      <c r="A28" s="7"/>
      <c r="B28" s="53" t="s">
        <v>78</v>
      </c>
      <c r="C28" s="3">
        <v>5</v>
      </c>
      <c r="D28" s="3">
        <v>10</v>
      </c>
      <c r="E28" s="3">
        <v>15</v>
      </c>
      <c r="F28">
        <v>10</v>
      </c>
      <c r="G28">
        <v>15</v>
      </c>
      <c r="H28">
        <v>15</v>
      </c>
      <c r="I28">
        <v>5</v>
      </c>
      <c r="J28">
        <v>15</v>
      </c>
      <c r="K28">
        <v>15</v>
      </c>
      <c r="L28" s="3">
        <v>5</v>
      </c>
      <c r="M28" s="3">
        <v>5</v>
      </c>
      <c r="N28" s="3">
        <v>15</v>
      </c>
      <c r="O28" s="3">
        <v>15</v>
      </c>
      <c r="P28" s="3">
        <v>5</v>
      </c>
      <c r="Q28" s="3">
        <v>15</v>
      </c>
      <c r="R28" s="3">
        <v>10</v>
      </c>
      <c r="S28" s="3">
        <v>5</v>
      </c>
      <c r="T28" s="3">
        <v>-5</v>
      </c>
      <c r="U28" s="3">
        <v>5</v>
      </c>
      <c r="V28" s="49">
        <f t="shared" si="0"/>
        <v>9.473684210526315</v>
      </c>
      <c r="Y28" s="31"/>
    </row>
    <row r="29" spans="1:25" x14ac:dyDescent="0.25">
      <c r="A29" s="23"/>
      <c r="B29" s="54" t="s">
        <v>79</v>
      </c>
      <c r="C29" s="3">
        <v>10</v>
      </c>
      <c r="D29" s="3">
        <v>0</v>
      </c>
      <c r="E29" s="3">
        <v>0</v>
      </c>
      <c r="F29">
        <v>15</v>
      </c>
      <c r="G29">
        <v>20</v>
      </c>
      <c r="H29">
        <v>10</v>
      </c>
      <c r="I29">
        <v>5</v>
      </c>
      <c r="J29">
        <v>10</v>
      </c>
      <c r="K29">
        <v>15</v>
      </c>
      <c r="L29" s="24">
        <v>5</v>
      </c>
      <c r="M29" s="3">
        <v>0</v>
      </c>
      <c r="N29" s="3">
        <v>5</v>
      </c>
      <c r="O29" s="3">
        <v>0</v>
      </c>
      <c r="P29" s="3">
        <v>10</v>
      </c>
      <c r="Q29" s="3">
        <v>10</v>
      </c>
      <c r="R29" s="3">
        <v>5</v>
      </c>
      <c r="S29" s="3">
        <v>0</v>
      </c>
      <c r="T29" s="3">
        <v>0</v>
      </c>
      <c r="U29" s="3">
        <v>5</v>
      </c>
      <c r="V29" s="49">
        <f>AVERAGE(C29:U29)</f>
        <v>6.5789473684210522</v>
      </c>
      <c r="Y29" s="31"/>
    </row>
    <row r="30" spans="1:25" x14ac:dyDescent="0.25">
      <c r="A30" s="7"/>
      <c r="B30" s="53" t="s">
        <v>80</v>
      </c>
      <c r="C30" s="3">
        <v>10</v>
      </c>
      <c r="D30" s="3">
        <v>-5</v>
      </c>
      <c r="E30" s="3">
        <v>10</v>
      </c>
      <c r="F30">
        <v>10</v>
      </c>
      <c r="G30">
        <v>25</v>
      </c>
      <c r="H30">
        <v>15</v>
      </c>
      <c r="I30">
        <v>5</v>
      </c>
      <c r="J30">
        <v>5</v>
      </c>
      <c r="K30">
        <v>5</v>
      </c>
      <c r="L30" s="3">
        <v>15</v>
      </c>
      <c r="M30" s="3">
        <v>-5</v>
      </c>
      <c r="N30" s="3">
        <v>10</v>
      </c>
      <c r="O30" s="3">
        <v>25</v>
      </c>
      <c r="P30" s="3">
        <v>25</v>
      </c>
      <c r="Q30" s="3">
        <v>15</v>
      </c>
      <c r="R30" s="3">
        <v>10</v>
      </c>
      <c r="S30" s="3">
        <v>0</v>
      </c>
      <c r="T30" s="3">
        <v>5</v>
      </c>
      <c r="U30" s="3">
        <v>10</v>
      </c>
      <c r="V30" s="49">
        <f t="shared" si="0"/>
        <v>10</v>
      </c>
      <c r="Y30" s="31"/>
    </row>
    <row r="31" spans="1:25" x14ac:dyDescent="0.25">
      <c r="A31" s="7"/>
      <c r="B31" s="53" t="s">
        <v>81</v>
      </c>
      <c r="C31" s="3">
        <v>20</v>
      </c>
      <c r="D31" s="3">
        <v>-10</v>
      </c>
      <c r="E31" s="3">
        <v>0</v>
      </c>
      <c r="F31">
        <v>15</v>
      </c>
      <c r="G31">
        <v>15</v>
      </c>
      <c r="H31">
        <v>20</v>
      </c>
      <c r="I31">
        <v>10</v>
      </c>
      <c r="J31">
        <v>0</v>
      </c>
      <c r="K31">
        <v>5</v>
      </c>
      <c r="L31" s="3">
        <v>10</v>
      </c>
      <c r="M31" s="3">
        <v>0</v>
      </c>
      <c r="N31" s="3">
        <v>20</v>
      </c>
      <c r="O31" s="3">
        <v>55</v>
      </c>
      <c r="P31" s="3">
        <v>10</v>
      </c>
      <c r="Q31" s="3">
        <v>5</v>
      </c>
      <c r="R31" s="3">
        <v>-10</v>
      </c>
      <c r="S31" s="3">
        <v>-10</v>
      </c>
      <c r="T31" s="3">
        <v>5</v>
      </c>
      <c r="U31" s="3">
        <v>30</v>
      </c>
      <c r="V31" s="49">
        <f t="shared" si="0"/>
        <v>10</v>
      </c>
      <c r="Y31" s="31"/>
    </row>
    <row r="32" spans="1:25" x14ac:dyDescent="0.25">
      <c r="A32" s="7"/>
      <c r="B32" s="53" t="s">
        <v>82</v>
      </c>
      <c r="C32" s="3">
        <v>30</v>
      </c>
      <c r="D32" s="3">
        <v>20</v>
      </c>
      <c r="E32" s="3">
        <v>20</v>
      </c>
      <c r="F32">
        <v>30</v>
      </c>
      <c r="G32">
        <v>25</v>
      </c>
      <c r="H32">
        <v>45</v>
      </c>
      <c r="I32">
        <v>40</v>
      </c>
      <c r="J32">
        <v>35</v>
      </c>
      <c r="K32">
        <v>50</v>
      </c>
      <c r="L32" s="3">
        <v>20</v>
      </c>
      <c r="M32" s="3">
        <v>30</v>
      </c>
      <c r="N32" s="3">
        <v>20</v>
      </c>
      <c r="O32" s="3">
        <v>75</v>
      </c>
      <c r="P32" s="3">
        <v>35</v>
      </c>
      <c r="Q32" s="3">
        <v>5</v>
      </c>
      <c r="R32" s="3">
        <v>10</v>
      </c>
      <c r="S32" s="3">
        <v>10</v>
      </c>
      <c r="T32" s="3">
        <v>10</v>
      </c>
      <c r="U32" s="3">
        <v>35</v>
      </c>
      <c r="V32" s="49">
        <f t="shared" si="0"/>
        <v>28.684210526315791</v>
      </c>
      <c r="Y32" s="31"/>
    </row>
    <row r="33" spans="1:25" x14ac:dyDescent="0.25">
      <c r="A33" s="26"/>
      <c r="B33" s="53" t="s">
        <v>83</v>
      </c>
      <c r="C33" s="3">
        <v>45</v>
      </c>
      <c r="D33" s="3">
        <v>5</v>
      </c>
      <c r="E33" s="3">
        <v>20</v>
      </c>
      <c r="F33">
        <v>45</v>
      </c>
      <c r="G33">
        <v>45</v>
      </c>
      <c r="H33">
        <v>55</v>
      </c>
      <c r="I33">
        <v>25</v>
      </c>
      <c r="J33">
        <v>25</v>
      </c>
      <c r="K33">
        <v>35</v>
      </c>
      <c r="L33" s="3">
        <v>25</v>
      </c>
      <c r="M33" s="3">
        <v>25</v>
      </c>
      <c r="N33" s="3">
        <v>30</v>
      </c>
      <c r="O33" s="3">
        <v>85</v>
      </c>
      <c r="P33" s="3">
        <v>15</v>
      </c>
      <c r="Q33" s="3">
        <v>10</v>
      </c>
      <c r="R33" s="3">
        <v>20</v>
      </c>
      <c r="S33" s="3">
        <v>-5</v>
      </c>
      <c r="T33" s="3">
        <v>15</v>
      </c>
      <c r="U33" s="3">
        <v>40</v>
      </c>
      <c r="V33" s="49">
        <f t="shared" si="0"/>
        <v>29.473684210526315</v>
      </c>
      <c r="Y33" s="31"/>
    </row>
    <row r="34" spans="1:25" x14ac:dyDescent="0.25">
      <c r="A34" s="27" t="s">
        <v>110</v>
      </c>
      <c r="B34" s="27"/>
      <c r="C34" s="29"/>
      <c r="D34" s="29" t="s">
        <v>85</v>
      </c>
      <c r="E34" s="29" t="s">
        <v>111</v>
      </c>
      <c r="F34" s="30" t="s">
        <v>112</v>
      </c>
      <c r="G34" s="30" t="s">
        <v>113</v>
      </c>
      <c r="H34" s="30" t="s">
        <v>115</v>
      </c>
      <c r="I34" s="30" t="s">
        <v>114</v>
      </c>
      <c r="J34" s="30" t="s">
        <v>116</v>
      </c>
      <c r="K34" s="30" t="s">
        <v>117</v>
      </c>
      <c r="L34" s="29" t="s">
        <v>86</v>
      </c>
      <c r="M34" s="29"/>
      <c r="N34" s="29" t="s">
        <v>87</v>
      </c>
      <c r="O34" s="29" t="s">
        <v>88</v>
      </c>
      <c r="P34" s="29" t="s">
        <v>89</v>
      </c>
      <c r="Q34" s="29" t="s">
        <v>90</v>
      </c>
      <c r="R34" s="29"/>
      <c r="S34" s="29" t="s">
        <v>91</v>
      </c>
      <c r="T34" s="29"/>
      <c r="U34" s="29" t="s">
        <v>92</v>
      </c>
      <c r="V34" s="49"/>
      <c r="Y34" s="31"/>
    </row>
    <row r="35" spans="1:25" x14ac:dyDescent="0.25">
      <c r="O35" s="3"/>
      <c r="V35" s="49"/>
      <c r="Y35" s="31"/>
    </row>
    <row r="36" spans="1:25" x14ac:dyDescent="0.25">
      <c r="A36" s="31"/>
      <c r="B36" s="31"/>
      <c r="C36" s="31"/>
      <c r="D36" s="31"/>
      <c r="E36" s="31"/>
      <c r="F36" s="32"/>
      <c r="G36" s="31"/>
      <c r="H36" s="31"/>
      <c r="I36" s="31"/>
      <c r="J36" s="31"/>
      <c r="K36" s="31"/>
      <c r="L36" s="31"/>
      <c r="M36" s="31"/>
      <c r="N36" s="31"/>
      <c r="O36" s="32"/>
      <c r="P36" s="31"/>
      <c r="Q36" s="31"/>
      <c r="R36" s="31"/>
      <c r="S36" s="31"/>
      <c r="T36" s="31"/>
      <c r="U36" s="31"/>
      <c r="V36" s="49"/>
      <c r="Y36" s="31"/>
    </row>
    <row r="37" spans="1:25" x14ac:dyDescent="0.25">
      <c r="A37" s="56" t="s">
        <v>93</v>
      </c>
      <c r="B37" s="55" t="s">
        <v>1</v>
      </c>
      <c r="C37" s="33" t="s">
        <v>2</v>
      </c>
      <c r="D37" s="2" t="s">
        <v>3</v>
      </c>
      <c r="E37" s="2" t="s">
        <v>4</v>
      </c>
      <c r="F37" t="s">
        <v>5</v>
      </c>
      <c r="G37" t="s">
        <v>6</v>
      </c>
      <c r="H37" t="s">
        <v>7</v>
      </c>
      <c r="I37" s="2" t="s">
        <v>8</v>
      </c>
      <c r="J37" t="s">
        <v>9</v>
      </c>
      <c r="K37" t="s">
        <v>10</v>
      </c>
      <c r="L37" t="s">
        <v>11</v>
      </c>
      <c r="M37" t="s">
        <v>12</v>
      </c>
      <c r="N37" s="2" t="s">
        <v>13</v>
      </c>
      <c r="O37" s="1" t="s">
        <v>14</v>
      </c>
      <c r="P37" t="s">
        <v>15</v>
      </c>
      <c r="Q37" t="s">
        <v>16</v>
      </c>
      <c r="R37" t="s">
        <v>17</v>
      </c>
      <c r="S37" s="2" t="s">
        <v>18</v>
      </c>
      <c r="T37" s="2" t="s">
        <v>19</v>
      </c>
      <c r="U37" s="2" t="s">
        <v>20</v>
      </c>
      <c r="V37" s="49"/>
      <c r="Y37" s="31"/>
    </row>
    <row r="38" spans="1:25" x14ac:dyDescent="0.25">
      <c r="A38" s="4" t="s">
        <v>22</v>
      </c>
      <c r="B38" s="53" t="s">
        <v>23</v>
      </c>
      <c r="C38" s="35">
        <v>45480</v>
      </c>
      <c r="D38" s="6">
        <v>45840</v>
      </c>
      <c r="E38" s="36">
        <v>45832</v>
      </c>
      <c r="F38" s="6">
        <v>45107</v>
      </c>
      <c r="G38" s="35">
        <v>45446</v>
      </c>
      <c r="H38" s="35">
        <v>45481</v>
      </c>
      <c r="I38" s="6">
        <v>45807</v>
      </c>
      <c r="J38" s="35">
        <v>45450</v>
      </c>
      <c r="K38" s="35">
        <v>45755</v>
      </c>
      <c r="L38" s="6">
        <v>45467</v>
      </c>
      <c r="M38" s="6">
        <v>45482</v>
      </c>
      <c r="N38" s="6">
        <v>45477</v>
      </c>
      <c r="O38" s="6">
        <v>45813</v>
      </c>
      <c r="P38" s="35">
        <v>45510</v>
      </c>
      <c r="Q38" s="6">
        <v>45499</v>
      </c>
      <c r="R38" s="6">
        <v>45498</v>
      </c>
      <c r="S38" s="37">
        <v>45819</v>
      </c>
      <c r="T38" s="47">
        <v>45819</v>
      </c>
      <c r="U38" s="6">
        <v>45847</v>
      </c>
      <c r="V38" s="50"/>
      <c r="Y38" s="31"/>
    </row>
    <row r="39" spans="1:25" x14ac:dyDescent="0.25">
      <c r="A39" s="7"/>
      <c r="B39" s="53" t="s">
        <v>24</v>
      </c>
      <c r="C39">
        <v>43</v>
      </c>
      <c r="D39" s="3">
        <v>62</v>
      </c>
      <c r="E39" s="43">
        <v>25</v>
      </c>
      <c r="F39">
        <v>50</v>
      </c>
      <c r="G39">
        <v>73</v>
      </c>
      <c r="H39" s="3">
        <v>62</v>
      </c>
      <c r="I39" s="3">
        <v>60</v>
      </c>
      <c r="J39">
        <v>52</v>
      </c>
      <c r="K39">
        <v>55</v>
      </c>
      <c r="L39" s="3">
        <v>30</v>
      </c>
      <c r="M39" s="3">
        <v>40</v>
      </c>
      <c r="N39" s="3">
        <v>41</v>
      </c>
      <c r="O39" s="3">
        <v>75</v>
      </c>
      <c r="P39" s="3">
        <v>51</v>
      </c>
      <c r="Q39" s="3">
        <v>34</v>
      </c>
      <c r="R39" s="3">
        <v>25</v>
      </c>
      <c r="S39" s="32">
        <v>27</v>
      </c>
      <c r="T39" s="43">
        <v>25</v>
      </c>
      <c r="U39" s="34">
        <v>64</v>
      </c>
      <c r="V39" s="51">
        <f>AVERAGE(C39:U39)</f>
        <v>47.05263157894737</v>
      </c>
      <c r="Y39" s="31"/>
    </row>
    <row r="40" spans="1:25" x14ac:dyDescent="0.25">
      <c r="A40" s="7"/>
      <c r="B40" s="53" t="s">
        <v>25</v>
      </c>
      <c r="C40" t="s">
        <v>28</v>
      </c>
      <c r="D40" s="3" t="s">
        <v>28</v>
      </c>
      <c r="E40" s="38" t="s">
        <v>28</v>
      </c>
      <c r="F40" t="s">
        <v>28</v>
      </c>
      <c r="G40" t="s">
        <v>26</v>
      </c>
      <c r="H40" s="3" t="s">
        <v>28</v>
      </c>
      <c r="I40" s="3" t="s">
        <v>26</v>
      </c>
      <c r="J40" t="s">
        <v>26</v>
      </c>
      <c r="K40" t="s">
        <v>28</v>
      </c>
      <c r="L40" s="3" t="s">
        <v>26</v>
      </c>
      <c r="M40" s="3" t="s">
        <v>28</v>
      </c>
      <c r="N40" s="3" t="s">
        <v>28</v>
      </c>
      <c r="O40" s="3" t="s">
        <v>26</v>
      </c>
      <c r="P40" t="s">
        <v>28</v>
      </c>
      <c r="Q40" s="3" t="s">
        <v>26</v>
      </c>
      <c r="R40" s="3" t="s">
        <v>26</v>
      </c>
      <c r="S40" s="39" t="s">
        <v>26</v>
      </c>
      <c r="T40" s="43" t="s">
        <v>26</v>
      </c>
      <c r="U40" s="34" t="s">
        <v>26</v>
      </c>
      <c r="V40" s="52" t="s">
        <v>94</v>
      </c>
      <c r="Y40" s="31"/>
    </row>
    <row r="41" spans="1:25" x14ac:dyDescent="0.25">
      <c r="A41" s="7"/>
      <c r="B41" s="53" t="s">
        <v>29</v>
      </c>
      <c r="C41" t="s">
        <v>30</v>
      </c>
      <c r="D41" s="3" t="s">
        <v>30</v>
      </c>
      <c r="E41" s="43" t="s">
        <v>30</v>
      </c>
      <c r="F41" t="s">
        <v>30</v>
      </c>
      <c r="G41" t="s">
        <v>30</v>
      </c>
      <c r="H41" s="3" t="s">
        <v>30</v>
      </c>
      <c r="I41" s="3" t="s">
        <v>30</v>
      </c>
      <c r="J41" t="s">
        <v>31</v>
      </c>
      <c r="K41" t="s">
        <v>30</v>
      </c>
      <c r="L41" s="3" t="s">
        <v>30</v>
      </c>
      <c r="M41" s="3" t="s">
        <v>30</v>
      </c>
      <c r="N41" s="3" t="s">
        <v>30</v>
      </c>
      <c r="O41" s="3" t="s">
        <v>31</v>
      </c>
      <c r="P41" t="s">
        <v>31</v>
      </c>
      <c r="Q41" s="3" t="s">
        <v>30</v>
      </c>
      <c r="R41" s="3" t="s">
        <v>30</v>
      </c>
      <c r="S41" s="61" t="s">
        <v>30</v>
      </c>
      <c r="T41" s="43" t="s">
        <v>30</v>
      </c>
      <c r="U41" s="34" t="s">
        <v>30</v>
      </c>
      <c r="V41" s="52" t="s">
        <v>119</v>
      </c>
      <c r="Y41" s="31"/>
    </row>
    <row r="42" spans="1:25" x14ac:dyDescent="0.25">
      <c r="A42" s="4" t="s">
        <v>73</v>
      </c>
      <c r="B42" s="12"/>
      <c r="C42" s="13">
        <v>10</v>
      </c>
      <c r="D42" s="14">
        <v>4</v>
      </c>
      <c r="E42" s="14">
        <v>11</v>
      </c>
      <c r="F42" s="13">
        <v>14</v>
      </c>
      <c r="G42" s="13">
        <v>9</v>
      </c>
      <c r="H42" s="15">
        <v>25</v>
      </c>
      <c r="I42" s="15">
        <v>22</v>
      </c>
      <c r="J42" s="13">
        <v>3</v>
      </c>
      <c r="K42" s="13">
        <v>5</v>
      </c>
      <c r="L42" s="14">
        <v>12</v>
      </c>
      <c r="M42" s="14">
        <v>0</v>
      </c>
      <c r="N42" s="14">
        <v>7</v>
      </c>
      <c r="O42" s="14">
        <v>2</v>
      </c>
      <c r="P42" s="13">
        <v>5</v>
      </c>
      <c r="Q42" s="14">
        <v>18</v>
      </c>
      <c r="R42" s="14">
        <v>11</v>
      </c>
      <c r="S42" s="13">
        <v>3</v>
      </c>
      <c r="T42" s="13">
        <v>2</v>
      </c>
      <c r="U42" s="14">
        <v>10</v>
      </c>
      <c r="V42" s="51">
        <f>AVERAGE(C42:U42)</f>
        <v>9.1052631578947363</v>
      </c>
      <c r="Y42" s="31"/>
    </row>
    <row r="43" spans="1:25" x14ac:dyDescent="0.25">
      <c r="A43" s="4" t="s">
        <v>74</v>
      </c>
      <c r="B43" s="12"/>
      <c r="C43" s="18">
        <v>62</v>
      </c>
      <c r="D43" s="17">
        <v>29</v>
      </c>
      <c r="E43" s="17">
        <v>48</v>
      </c>
      <c r="F43" s="16">
        <v>28</v>
      </c>
      <c r="G43" s="16">
        <v>34</v>
      </c>
      <c r="H43" s="17">
        <v>54</v>
      </c>
      <c r="I43" s="17">
        <v>54</v>
      </c>
      <c r="J43" s="16">
        <v>28</v>
      </c>
      <c r="K43" s="16">
        <v>28</v>
      </c>
      <c r="L43" s="17">
        <v>34</v>
      </c>
      <c r="M43" s="17">
        <v>25</v>
      </c>
      <c r="N43" s="17">
        <v>29</v>
      </c>
      <c r="O43" s="17">
        <v>25</v>
      </c>
      <c r="P43" s="16">
        <v>27</v>
      </c>
      <c r="Q43" s="17">
        <v>32</v>
      </c>
      <c r="R43" s="17">
        <v>39</v>
      </c>
      <c r="S43" s="16">
        <v>25</v>
      </c>
      <c r="T43" s="16">
        <v>28</v>
      </c>
      <c r="U43" s="40">
        <v>33</v>
      </c>
      <c r="V43" s="51">
        <f>AVERAGE(C43:U43)</f>
        <v>34.842105263157897</v>
      </c>
      <c r="Y43" s="31"/>
    </row>
    <row r="44" spans="1:25" x14ac:dyDescent="0.25">
      <c r="A44" s="19" t="s">
        <v>75</v>
      </c>
      <c r="B44" s="19" t="s">
        <v>76</v>
      </c>
      <c r="C44" s="20"/>
      <c r="D44" s="21"/>
      <c r="E44" s="21"/>
      <c r="F44" s="20"/>
      <c r="G44" s="20"/>
      <c r="H44" s="21"/>
      <c r="I44" s="22"/>
      <c r="J44" s="20"/>
      <c r="K44" s="20"/>
      <c r="L44" s="20"/>
      <c r="M44" s="21"/>
      <c r="N44" s="21"/>
      <c r="O44" s="21"/>
      <c r="P44" s="20"/>
      <c r="Q44" s="21"/>
      <c r="R44" s="21"/>
      <c r="S44" s="20"/>
      <c r="T44" s="20"/>
      <c r="U44" s="41"/>
      <c r="V44" s="52"/>
      <c r="Y44" s="63"/>
    </row>
    <row r="45" spans="1:25" x14ac:dyDescent="0.25">
      <c r="A45" s="7"/>
      <c r="B45" s="53" t="s">
        <v>77</v>
      </c>
      <c r="C45">
        <v>10</v>
      </c>
      <c r="D45" s="3">
        <v>5</v>
      </c>
      <c r="E45" s="42">
        <v>10</v>
      </c>
      <c r="F45">
        <v>10</v>
      </c>
      <c r="G45">
        <v>25</v>
      </c>
      <c r="H45" s="3">
        <v>5</v>
      </c>
      <c r="I45" s="3">
        <v>20</v>
      </c>
      <c r="J45">
        <v>5</v>
      </c>
      <c r="K45">
        <v>15</v>
      </c>
      <c r="L45">
        <v>10</v>
      </c>
      <c r="M45" s="3">
        <v>20</v>
      </c>
      <c r="N45" s="3">
        <v>15</v>
      </c>
      <c r="O45" s="3">
        <v>25</v>
      </c>
      <c r="P45">
        <v>5</v>
      </c>
      <c r="Q45" s="3">
        <v>0</v>
      </c>
      <c r="R45" s="3">
        <v>-5</v>
      </c>
      <c r="S45" s="42">
        <v>0</v>
      </c>
      <c r="T45" s="43">
        <v>5</v>
      </c>
      <c r="U45" s="43">
        <v>5</v>
      </c>
      <c r="V45" s="51">
        <f t="shared" ref="V45:V51" si="1">AVERAGE(C45:U45)</f>
        <v>9.7368421052631575</v>
      </c>
      <c r="Y45" s="58"/>
    </row>
    <row r="46" spans="1:25" x14ac:dyDescent="0.25">
      <c r="A46" s="7"/>
      <c r="B46" s="53" t="s">
        <v>78</v>
      </c>
      <c r="C46">
        <v>5</v>
      </c>
      <c r="D46" s="3">
        <v>10</v>
      </c>
      <c r="E46" s="43">
        <v>10</v>
      </c>
      <c r="F46">
        <v>5</v>
      </c>
      <c r="G46">
        <v>40</v>
      </c>
      <c r="H46" s="3">
        <v>5</v>
      </c>
      <c r="I46" s="3">
        <v>25</v>
      </c>
      <c r="J46">
        <v>5</v>
      </c>
      <c r="K46">
        <v>10</v>
      </c>
      <c r="L46">
        <v>5</v>
      </c>
      <c r="M46" s="3">
        <v>10</v>
      </c>
      <c r="N46" s="3">
        <v>5</v>
      </c>
      <c r="O46" s="3">
        <v>15</v>
      </c>
      <c r="P46">
        <v>5</v>
      </c>
      <c r="Q46" s="3">
        <v>0</v>
      </c>
      <c r="R46" s="3">
        <v>-5</v>
      </c>
      <c r="S46" s="43">
        <v>0</v>
      </c>
      <c r="T46" s="43">
        <v>0</v>
      </c>
      <c r="U46" s="38">
        <v>5</v>
      </c>
      <c r="V46" s="51">
        <f t="shared" si="1"/>
        <v>8.1578947368421044</v>
      </c>
      <c r="Y46" s="58"/>
    </row>
    <row r="47" spans="1:25" x14ac:dyDescent="0.25">
      <c r="A47" s="23"/>
      <c r="B47" s="54" t="s">
        <v>79</v>
      </c>
      <c r="C47">
        <v>30</v>
      </c>
      <c r="D47" s="3">
        <v>5</v>
      </c>
      <c r="E47" s="38">
        <v>0</v>
      </c>
      <c r="F47">
        <v>5</v>
      </c>
      <c r="G47">
        <v>25</v>
      </c>
      <c r="H47" s="3">
        <v>5</v>
      </c>
      <c r="I47" s="3">
        <v>20</v>
      </c>
      <c r="J47">
        <v>5</v>
      </c>
      <c r="K47">
        <v>5</v>
      </c>
      <c r="L47">
        <v>5</v>
      </c>
      <c r="M47" s="3">
        <v>10</v>
      </c>
      <c r="N47" s="3">
        <v>10</v>
      </c>
      <c r="O47" s="3">
        <v>30</v>
      </c>
      <c r="P47">
        <v>5</v>
      </c>
      <c r="Q47" s="3">
        <v>5</v>
      </c>
      <c r="R47" s="3">
        <v>0</v>
      </c>
      <c r="S47" s="38">
        <v>0</v>
      </c>
      <c r="T47" s="43">
        <v>0</v>
      </c>
      <c r="U47" s="43">
        <v>5</v>
      </c>
      <c r="V47" s="51">
        <f t="shared" si="1"/>
        <v>8.9473684210526319</v>
      </c>
      <c r="Y47" s="58"/>
    </row>
    <row r="48" spans="1:25" x14ac:dyDescent="0.25">
      <c r="A48" s="7"/>
      <c r="B48" s="53" t="s">
        <v>80</v>
      </c>
      <c r="C48">
        <v>20</v>
      </c>
      <c r="D48" s="3">
        <v>0</v>
      </c>
      <c r="E48" s="43">
        <v>0</v>
      </c>
      <c r="F48">
        <v>10</v>
      </c>
      <c r="G48">
        <v>40</v>
      </c>
      <c r="H48" s="3">
        <v>15</v>
      </c>
      <c r="I48" s="3">
        <v>25</v>
      </c>
      <c r="J48">
        <v>10</v>
      </c>
      <c r="K48">
        <v>-5</v>
      </c>
      <c r="L48">
        <v>5</v>
      </c>
      <c r="M48" s="3">
        <v>5</v>
      </c>
      <c r="N48" s="3">
        <v>5</v>
      </c>
      <c r="O48" s="3">
        <v>40</v>
      </c>
      <c r="P48">
        <v>0</v>
      </c>
      <c r="Q48" s="3">
        <v>5</v>
      </c>
      <c r="R48" s="3">
        <v>-10</v>
      </c>
      <c r="S48" s="43">
        <v>0</v>
      </c>
      <c r="T48" s="43">
        <v>0</v>
      </c>
      <c r="U48" s="38">
        <v>10</v>
      </c>
      <c r="V48" s="51">
        <f t="shared" si="1"/>
        <v>9.2105263157894743</v>
      </c>
      <c r="Y48" s="58"/>
    </row>
    <row r="49" spans="1:25" x14ac:dyDescent="0.25">
      <c r="A49" s="7"/>
      <c r="B49" s="53" t="s">
        <v>81</v>
      </c>
      <c r="C49">
        <v>25</v>
      </c>
      <c r="D49" s="3">
        <v>10</v>
      </c>
      <c r="E49" s="38">
        <v>5</v>
      </c>
      <c r="F49">
        <v>5</v>
      </c>
      <c r="G49">
        <v>35</v>
      </c>
      <c r="H49" s="3">
        <v>20</v>
      </c>
      <c r="I49" s="3">
        <v>45</v>
      </c>
      <c r="J49">
        <v>30</v>
      </c>
      <c r="K49">
        <v>0</v>
      </c>
      <c r="L49">
        <v>-5</v>
      </c>
      <c r="M49" s="3">
        <v>20</v>
      </c>
      <c r="N49" s="3">
        <v>10</v>
      </c>
      <c r="O49" s="3">
        <v>60</v>
      </c>
      <c r="P49">
        <v>15</v>
      </c>
      <c r="Q49" s="3">
        <v>0</v>
      </c>
      <c r="R49" s="3">
        <v>0</v>
      </c>
      <c r="S49" s="38">
        <v>-5</v>
      </c>
      <c r="T49" s="43">
        <v>5</v>
      </c>
      <c r="U49" s="43">
        <v>10</v>
      </c>
      <c r="V49" s="51">
        <f t="shared" si="1"/>
        <v>15</v>
      </c>
      <c r="Y49" s="31"/>
    </row>
    <row r="50" spans="1:25" x14ac:dyDescent="0.25">
      <c r="A50" s="7"/>
      <c r="B50" s="53" t="s">
        <v>82</v>
      </c>
      <c r="C50">
        <v>35</v>
      </c>
      <c r="D50" s="3">
        <v>10</v>
      </c>
      <c r="E50" s="43">
        <v>35</v>
      </c>
      <c r="F50">
        <v>20</v>
      </c>
      <c r="G50">
        <v>35</v>
      </c>
      <c r="H50" s="3">
        <v>55</v>
      </c>
      <c r="I50" s="3">
        <v>55</v>
      </c>
      <c r="J50">
        <v>35</v>
      </c>
      <c r="K50">
        <v>15</v>
      </c>
      <c r="L50">
        <v>10</v>
      </c>
      <c r="M50" s="3">
        <v>15</v>
      </c>
      <c r="N50" s="3">
        <v>35</v>
      </c>
      <c r="O50" s="3">
        <v>55</v>
      </c>
      <c r="P50">
        <v>10</v>
      </c>
      <c r="Q50" s="3">
        <v>5</v>
      </c>
      <c r="R50" s="3">
        <v>10</v>
      </c>
      <c r="S50" s="43">
        <v>5</v>
      </c>
      <c r="T50" s="43">
        <v>0</v>
      </c>
      <c r="U50" s="38">
        <v>70</v>
      </c>
      <c r="V50" s="51">
        <f t="shared" si="1"/>
        <v>26.842105263157894</v>
      </c>
      <c r="Y50" s="31"/>
    </row>
    <row r="51" spans="1:25" x14ac:dyDescent="0.25">
      <c r="A51" s="7"/>
      <c r="B51" s="53" t="s">
        <v>83</v>
      </c>
      <c r="C51">
        <v>40</v>
      </c>
      <c r="D51" s="3">
        <v>20</v>
      </c>
      <c r="E51" s="44">
        <v>40</v>
      </c>
      <c r="F51">
        <v>5</v>
      </c>
      <c r="G51">
        <v>55</v>
      </c>
      <c r="H51" s="3">
        <v>65</v>
      </c>
      <c r="I51" s="3">
        <v>35</v>
      </c>
      <c r="J51">
        <v>30</v>
      </c>
      <c r="K51">
        <v>20</v>
      </c>
      <c r="L51">
        <v>10</v>
      </c>
      <c r="M51" s="3">
        <v>20</v>
      </c>
      <c r="N51" s="3">
        <v>30</v>
      </c>
      <c r="O51" s="3">
        <v>75</v>
      </c>
      <c r="P51">
        <v>15</v>
      </c>
      <c r="Q51" s="3">
        <v>25</v>
      </c>
      <c r="R51" s="3">
        <v>5</v>
      </c>
      <c r="S51" s="44">
        <v>0</v>
      </c>
      <c r="T51" s="43">
        <v>10</v>
      </c>
      <c r="U51" s="43">
        <v>55</v>
      </c>
      <c r="V51" s="51">
        <f t="shared" si="1"/>
        <v>29.210526315789473</v>
      </c>
      <c r="Y51" s="31"/>
    </row>
    <row r="52" spans="1:25" x14ac:dyDescent="0.25">
      <c r="A52" s="25"/>
      <c r="B52" s="19" t="s">
        <v>84</v>
      </c>
      <c r="C52" s="20"/>
      <c r="D52" s="21"/>
      <c r="E52" s="45"/>
      <c r="F52" s="20"/>
      <c r="G52" s="20"/>
      <c r="H52" s="21"/>
      <c r="I52" s="21"/>
      <c r="J52" s="20"/>
      <c r="K52" s="20"/>
      <c r="L52" s="20"/>
      <c r="M52" s="21"/>
      <c r="N52" s="21"/>
      <c r="O52" s="21"/>
      <c r="P52" s="20"/>
      <c r="Q52" s="21"/>
      <c r="R52" s="21"/>
      <c r="S52" s="45"/>
      <c r="T52" s="45"/>
      <c r="U52" s="41"/>
      <c r="V52" s="51"/>
      <c r="Y52" s="31"/>
    </row>
    <row r="53" spans="1:25" x14ac:dyDescent="0.25">
      <c r="A53" s="7"/>
      <c r="B53" s="53" t="s">
        <v>77</v>
      </c>
      <c r="C53">
        <v>5</v>
      </c>
      <c r="D53" s="3">
        <v>5</v>
      </c>
      <c r="E53" s="42">
        <v>10</v>
      </c>
      <c r="F53">
        <v>10</v>
      </c>
      <c r="G53">
        <v>15</v>
      </c>
      <c r="H53" s="3">
        <v>15</v>
      </c>
      <c r="I53" s="3">
        <v>30</v>
      </c>
      <c r="J53">
        <v>5</v>
      </c>
      <c r="K53">
        <v>0</v>
      </c>
      <c r="L53">
        <v>15</v>
      </c>
      <c r="M53" s="3">
        <v>15</v>
      </c>
      <c r="N53" s="3">
        <v>5</v>
      </c>
      <c r="O53" s="3">
        <v>15</v>
      </c>
      <c r="P53">
        <v>5</v>
      </c>
      <c r="Q53" s="3">
        <v>0</v>
      </c>
      <c r="R53" s="3">
        <v>-5</v>
      </c>
      <c r="S53" s="42">
        <v>5</v>
      </c>
      <c r="T53" s="43">
        <v>10</v>
      </c>
      <c r="U53" s="43">
        <v>20</v>
      </c>
      <c r="V53" s="51">
        <f t="shared" ref="V53:V59" si="2">AVERAGE(C53:U53)</f>
        <v>9.473684210526315</v>
      </c>
      <c r="Y53" s="31"/>
    </row>
    <row r="54" spans="1:25" x14ac:dyDescent="0.25">
      <c r="A54" s="7"/>
      <c r="B54" s="53" t="s">
        <v>78</v>
      </c>
      <c r="C54">
        <v>5</v>
      </c>
      <c r="D54" s="3">
        <v>5</v>
      </c>
      <c r="E54" s="43">
        <v>10</v>
      </c>
      <c r="F54">
        <v>5</v>
      </c>
      <c r="G54">
        <v>5</v>
      </c>
      <c r="H54" s="3">
        <v>10</v>
      </c>
      <c r="I54" s="3">
        <v>35</v>
      </c>
      <c r="J54">
        <v>5</v>
      </c>
      <c r="K54">
        <v>0</v>
      </c>
      <c r="L54">
        <v>10</v>
      </c>
      <c r="M54" s="3">
        <v>10</v>
      </c>
      <c r="N54" s="3">
        <v>5</v>
      </c>
      <c r="O54" s="3">
        <v>20</v>
      </c>
      <c r="P54">
        <v>0</v>
      </c>
      <c r="Q54" s="3">
        <v>0</v>
      </c>
      <c r="R54" s="3">
        <v>0</v>
      </c>
      <c r="S54" s="43">
        <v>5</v>
      </c>
      <c r="T54" s="43">
        <v>10</v>
      </c>
      <c r="U54" s="38">
        <v>20</v>
      </c>
      <c r="V54" s="51">
        <f t="shared" si="2"/>
        <v>8.4210526315789469</v>
      </c>
      <c r="Y54" s="31"/>
    </row>
    <row r="55" spans="1:25" x14ac:dyDescent="0.25">
      <c r="A55" s="23"/>
      <c r="B55" s="54" t="s">
        <v>79</v>
      </c>
      <c r="C55">
        <v>0</v>
      </c>
      <c r="D55" s="3">
        <v>5</v>
      </c>
      <c r="E55" s="38">
        <v>0</v>
      </c>
      <c r="F55">
        <v>5</v>
      </c>
      <c r="G55">
        <v>10</v>
      </c>
      <c r="H55" s="3">
        <v>10</v>
      </c>
      <c r="I55" s="3">
        <v>15</v>
      </c>
      <c r="J55">
        <v>5</v>
      </c>
      <c r="K55">
        <v>5</v>
      </c>
      <c r="L55">
        <v>15</v>
      </c>
      <c r="M55" s="3">
        <v>10</v>
      </c>
      <c r="N55" s="3">
        <v>0</v>
      </c>
      <c r="O55" s="3">
        <v>20</v>
      </c>
      <c r="P55">
        <v>0</v>
      </c>
      <c r="Q55" s="3">
        <v>5</v>
      </c>
      <c r="R55" s="3">
        <v>0</v>
      </c>
      <c r="S55" s="38">
        <v>5</v>
      </c>
      <c r="T55" s="43">
        <v>10</v>
      </c>
      <c r="U55" s="43">
        <v>5</v>
      </c>
      <c r="V55" s="51">
        <f t="shared" si="2"/>
        <v>6.5789473684210522</v>
      </c>
      <c r="Y55" s="31"/>
    </row>
    <row r="56" spans="1:25" x14ac:dyDescent="0.25">
      <c r="A56" s="7"/>
      <c r="B56" s="53" t="s">
        <v>80</v>
      </c>
      <c r="C56">
        <v>25</v>
      </c>
      <c r="D56" s="3">
        <v>5</v>
      </c>
      <c r="E56" s="43">
        <v>5</v>
      </c>
      <c r="F56">
        <v>10</v>
      </c>
      <c r="G56">
        <v>20</v>
      </c>
      <c r="H56" s="3">
        <v>20</v>
      </c>
      <c r="I56" s="3">
        <v>25</v>
      </c>
      <c r="J56">
        <v>0</v>
      </c>
      <c r="K56">
        <v>5</v>
      </c>
      <c r="L56">
        <v>10</v>
      </c>
      <c r="M56" s="3">
        <v>5</v>
      </c>
      <c r="N56" s="3">
        <v>-5</v>
      </c>
      <c r="O56" s="3">
        <v>45</v>
      </c>
      <c r="P56">
        <v>5</v>
      </c>
      <c r="Q56" s="3">
        <v>0</v>
      </c>
      <c r="R56" s="3">
        <v>0</v>
      </c>
      <c r="S56" s="43">
        <v>0</v>
      </c>
      <c r="T56" s="43">
        <v>5</v>
      </c>
      <c r="U56" s="38">
        <v>5</v>
      </c>
      <c r="V56" s="51">
        <f t="shared" si="2"/>
        <v>9.7368421052631575</v>
      </c>
      <c r="Y56" s="31"/>
    </row>
    <row r="57" spans="1:25" x14ac:dyDescent="0.25">
      <c r="A57" s="7"/>
      <c r="B57" s="53" t="s">
        <v>81</v>
      </c>
      <c r="C57">
        <v>5</v>
      </c>
      <c r="D57" s="3">
        <v>10</v>
      </c>
      <c r="E57" s="38">
        <v>0</v>
      </c>
      <c r="F57">
        <v>10</v>
      </c>
      <c r="G57">
        <v>10</v>
      </c>
      <c r="H57" s="3">
        <v>25</v>
      </c>
      <c r="I57" s="3">
        <v>35</v>
      </c>
      <c r="J57">
        <v>25</v>
      </c>
      <c r="K57">
        <v>5</v>
      </c>
      <c r="L57">
        <v>0</v>
      </c>
      <c r="M57" s="3">
        <v>25</v>
      </c>
      <c r="N57" s="3">
        <v>20</v>
      </c>
      <c r="O57" s="3">
        <v>45</v>
      </c>
      <c r="P57">
        <v>10</v>
      </c>
      <c r="Q57" s="3">
        <v>-10</v>
      </c>
      <c r="R57" s="3">
        <v>-5</v>
      </c>
      <c r="S57" s="43">
        <v>0</v>
      </c>
      <c r="T57" s="43">
        <v>10</v>
      </c>
      <c r="U57" s="43">
        <v>0</v>
      </c>
      <c r="V57" s="51">
        <f t="shared" si="2"/>
        <v>11.578947368421053</v>
      </c>
    </row>
    <row r="58" spans="1:25" x14ac:dyDescent="0.25">
      <c r="A58" s="7"/>
      <c r="B58" s="53" t="s">
        <v>82</v>
      </c>
      <c r="C58">
        <v>15</v>
      </c>
      <c r="D58" s="3">
        <v>20</v>
      </c>
      <c r="E58" s="43">
        <v>45</v>
      </c>
      <c r="F58">
        <v>15</v>
      </c>
      <c r="G58">
        <v>25</v>
      </c>
      <c r="H58" s="3">
        <v>35</v>
      </c>
      <c r="I58" s="3">
        <v>40</v>
      </c>
      <c r="J58">
        <v>30</v>
      </c>
      <c r="K58">
        <v>10</v>
      </c>
      <c r="L58">
        <v>15</v>
      </c>
      <c r="M58" s="3">
        <v>35</v>
      </c>
      <c r="N58" s="3">
        <v>45</v>
      </c>
      <c r="O58" s="3">
        <v>45</v>
      </c>
      <c r="P58">
        <v>15</v>
      </c>
      <c r="Q58" s="3">
        <v>10</v>
      </c>
      <c r="R58" s="3">
        <v>10</v>
      </c>
      <c r="S58" s="38">
        <v>0</v>
      </c>
      <c r="T58" s="43">
        <v>5</v>
      </c>
      <c r="U58" s="38">
        <v>65</v>
      </c>
      <c r="V58" s="51">
        <f t="shared" si="2"/>
        <v>25.263157894736842</v>
      </c>
    </row>
    <row r="59" spans="1:25" x14ac:dyDescent="0.25">
      <c r="A59" s="26"/>
      <c r="B59" s="53" t="s">
        <v>83</v>
      </c>
      <c r="C59">
        <v>30</v>
      </c>
      <c r="D59" s="3">
        <v>20</v>
      </c>
      <c r="E59" s="46">
        <v>35</v>
      </c>
      <c r="F59">
        <v>25</v>
      </c>
      <c r="G59">
        <v>40</v>
      </c>
      <c r="H59" s="3">
        <v>65</v>
      </c>
      <c r="I59" s="3">
        <v>40</v>
      </c>
      <c r="J59">
        <v>20</v>
      </c>
      <c r="K59">
        <v>30</v>
      </c>
      <c r="L59">
        <v>20</v>
      </c>
      <c r="M59" s="3">
        <v>15</v>
      </c>
      <c r="N59" s="3">
        <v>60</v>
      </c>
      <c r="O59" s="3">
        <v>80</v>
      </c>
      <c r="P59">
        <v>15</v>
      </c>
      <c r="Q59" s="3">
        <v>20</v>
      </c>
      <c r="R59" s="3">
        <v>0</v>
      </c>
      <c r="S59" s="62">
        <v>0</v>
      </c>
      <c r="T59" s="62">
        <v>10</v>
      </c>
      <c r="U59" s="43">
        <v>40</v>
      </c>
      <c r="V59" s="51">
        <f t="shared" si="2"/>
        <v>29.736842105263158</v>
      </c>
    </row>
    <row r="60" spans="1:25" x14ac:dyDescent="0.25">
      <c r="A60" s="27" t="s">
        <v>110</v>
      </c>
      <c r="B60" s="27"/>
      <c r="C60" s="28"/>
      <c r="D60" s="29" t="s">
        <v>95</v>
      </c>
      <c r="E60" s="29" t="s">
        <v>96</v>
      </c>
      <c r="F60" s="30" t="s">
        <v>118</v>
      </c>
      <c r="G60" s="30" t="s">
        <v>97</v>
      </c>
      <c r="H60" s="30" t="s">
        <v>98</v>
      </c>
      <c r="I60" s="29" t="s">
        <v>99</v>
      </c>
      <c r="J60" s="30" t="s">
        <v>100</v>
      </c>
      <c r="K60" s="30" t="s">
        <v>101</v>
      </c>
      <c r="L60" s="30"/>
      <c r="M60" s="29" t="s">
        <v>102</v>
      </c>
      <c r="N60" s="29"/>
      <c r="O60" s="29" t="s">
        <v>103</v>
      </c>
      <c r="P60" s="30" t="s">
        <v>104</v>
      </c>
      <c r="Q60" s="29"/>
      <c r="R60" s="29"/>
      <c r="S60" s="30" t="s">
        <v>105</v>
      </c>
      <c r="T60" s="48" t="s">
        <v>106</v>
      </c>
      <c r="U60" s="30" t="s">
        <v>107</v>
      </c>
      <c r="V60" s="31"/>
    </row>
    <row r="67" spans="3:14" x14ac:dyDescent="0.25"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</row>
    <row r="68" spans="3:14" x14ac:dyDescent="0.25">
      <c r="C68" s="31"/>
      <c r="D68" s="57"/>
      <c r="E68" s="31"/>
      <c r="F68" s="31"/>
      <c r="G68" s="31"/>
      <c r="H68" s="31"/>
      <c r="I68" s="31"/>
      <c r="J68" s="31"/>
      <c r="K68" s="31"/>
      <c r="L68" s="31"/>
      <c r="M68" s="31"/>
      <c r="N68" s="31"/>
    </row>
    <row r="69" spans="3:14" x14ac:dyDescent="0.25">
      <c r="C69" s="31"/>
      <c r="D69" s="58"/>
      <c r="E69" s="31"/>
      <c r="F69" s="31"/>
      <c r="G69" s="31"/>
      <c r="H69" s="31"/>
      <c r="I69" s="31"/>
      <c r="J69" s="31"/>
      <c r="K69" s="31"/>
      <c r="L69" s="31"/>
      <c r="M69" s="31"/>
      <c r="N69" s="31"/>
    </row>
    <row r="70" spans="3:14" x14ac:dyDescent="0.25">
      <c r="C70" s="31"/>
      <c r="D70" s="57"/>
      <c r="E70" s="31"/>
      <c r="F70" s="31"/>
      <c r="G70" s="31"/>
      <c r="H70" s="31"/>
      <c r="I70" s="31"/>
      <c r="J70" s="31"/>
      <c r="K70" s="31"/>
      <c r="L70" s="31"/>
      <c r="M70" s="31"/>
      <c r="N70" s="31"/>
    </row>
    <row r="71" spans="3:14" x14ac:dyDescent="0.25">
      <c r="C71" s="31"/>
      <c r="D71" s="57"/>
      <c r="E71" s="31"/>
      <c r="F71" s="31"/>
      <c r="G71" s="31"/>
      <c r="H71" s="31"/>
      <c r="I71" s="31"/>
      <c r="J71" s="31"/>
      <c r="K71" s="31"/>
      <c r="L71" s="31"/>
      <c r="M71" s="31"/>
      <c r="N71" s="31"/>
    </row>
    <row r="72" spans="3:14" x14ac:dyDescent="0.25">
      <c r="C72" s="31"/>
      <c r="D72" s="57"/>
      <c r="E72" s="31"/>
      <c r="F72" s="31"/>
      <c r="G72" s="31"/>
      <c r="H72" s="31"/>
      <c r="I72" s="31"/>
      <c r="J72" s="31"/>
      <c r="K72" s="31"/>
      <c r="L72" s="31"/>
      <c r="M72" s="31"/>
      <c r="N72" s="31"/>
    </row>
    <row r="73" spans="3:14" x14ac:dyDescent="0.25">
      <c r="C73" s="31"/>
      <c r="D73" s="57"/>
      <c r="E73" s="31"/>
      <c r="F73" s="31"/>
      <c r="G73" s="31"/>
      <c r="H73" s="31"/>
      <c r="I73" s="31"/>
      <c r="J73" s="31"/>
      <c r="K73" s="31"/>
      <c r="L73" s="31"/>
      <c r="M73" s="31"/>
      <c r="N73" s="31"/>
    </row>
    <row r="74" spans="3:14" x14ac:dyDescent="0.25">
      <c r="C74" s="31"/>
      <c r="D74" s="57"/>
      <c r="E74" s="31"/>
      <c r="F74" s="31"/>
      <c r="G74" s="31"/>
      <c r="H74" s="31"/>
      <c r="I74" s="31"/>
      <c r="J74" s="31"/>
      <c r="K74" s="31"/>
      <c r="L74" s="31"/>
      <c r="M74" s="31"/>
      <c r="N74" s="31"/>
    </row>
    <row r="75" spans="3:14" x14ac:dyDescent="0.25">
      <c r="C75" s="31"/>
      <c r="D75" s="57"/>
      <c r="E75" s="31"/>
      <c r="F75" s="31"/>
      <c r="G75" s="31"/>
      <c r="H75" s="31"/>
      <c r="I75" s="31"/>
      <c r="J75" s="31"/>
      <c r="K75" s="31"/>
      <c r="L75" s="31"/>
      <c r="M75" s="31"/>
      <c r="N75" s="31"/>
    </row>
    <row r="76" spans="3:14" x14ac:dyDescent="0.25">
      <c r="C76" s="31"/>
      <c r="D76" s="57"/>
      <c r="E76" s="31"/>
      <c r="F76" s="31"/>
      <c r="G76" s="31"/>
      <c r="H76" s="31"/>
      <c r="I76" s="31"/>
      <c r="J76" s="31"/>
      <c r="K76" s="31"/>
      <c r="L76" s="31"/>
      <c r="M76" s="31"/>
      <c r="N76" s="31"/>
    </row>
    <row r="77" spans="3:14" x14ac:dyDescent="0.25">
      <c r="C77" s="31"/>
      <c r="D77" s="57"/>
      <c r="E77" s="31"/>
      <c r="F77" s="31"/>
      <c r="G77" s="31"/>
      <c r="H77" s="31"/>
      <c r="I77" s="31"/>
      <c r="J77" s="31"/>
      <c r="K77" s="31"/>
      <c r="L77" s="31"/>
      <c r="M77" s="31"/>
      <c r="N77" s="31"/>
    </row>
    <row r="78" spans="3:14" x14ac:dyDescent="0.25">
      <c r="C78" s="31"/>
      <c r="D78" s="57"/>
      <c r="E78" s="31"/>
      <c r="F78" s="31"/>
      <c r="G78" s="31"/>
      <c r="H78" s="31"/>
      <c r="I78" s="31"/>
      <c r="J78" s="31"/>
      <c r="K78" s="31"/>
      <c r="L78" s="31"/>
      <c r="M78" s="31"/>
      <c r="N78" s="31"/>
    </row>
    <row r="79" spans="3:14" x14ac:dyDescent="0.25">
      <c r="C79" s="31"/>
      <c r="D79" s="57"/>
      <c r="E79" s="31"/>
      <c r="F79" s="31"/>
      <c r="G79" s="31"/>
      <c r="H79" s="31"/>
      <c r="I79" s="31"/>
      <c r="J79" s="31"/>
      <c r="K79" s="31"/>
      <c r="L79" s="31"/>
      <c r="M79" s="31"/>
      <c r="N79" s="31"/>
    </row>
    <row r="80" spans="3:14" x14ac:dyDescent="0.25">
      <c r="C80" s="31"/>
      <c r="D80" s="57"/>
      <c r="E80" s="31"/>
      <c r="F80" s="31"/>
      <c r="G80" s="31"/>
      <c r="H80" s="31"/>
      <c r="I80" s="31"/>
      <c r="J80" s="31"/>
      <c r="K80" s="31"/>
      <c r="L80" s="31"/>
      <c r="M80" s="31"/>
      <c r="N80" s="31"/>
    </row>
    <row r="81" spans="3:14" x14ac:dyDescent="0.25">
      <c r="C81" s="31"/>
      <c r="D81" s="57"/>
      <c r="E81" s="31"/>
      <c r="F81" s="31"/>
      <c r="G81" s="31"/>
      <c r="H81" s="31"/>
      <c r="I81" s="31"/>
      <c r="J81" s="31"/>
      <c r="K81" s="31"/>
      <c r="L81" s="31"/>
      <c r="M81" s="31"/>
      <c r="N81" s="31"/>
    </row>
    <row r="82" spans="3:14" x14ac:dyDescent="0.25">
      <c r="C82" s="31"/>
      <c r="D82" s="57"/>
      <c r="E82" s="31"/>
      <c r="F82" s="31"/>
      <c r="G82" s="31"/>
      <c r="H82" s="31"/>
      <c r="I82" s="31"/>
      <c r="J82" s="31"/>
      <c r="K82" s="31"/>
      <c r="L82" s="31"/>
      <c r="M82" s="31"/>
      <c r="N82" s="31"/>
    </row>
    <row r="83" spans="3:14" x14ac:dyDescent="0.25">
      <c r="C83" s="31"/>
      <c r="D83" s="57"/>
      <c r="E83" s="31"/>
      <c r="F83" s="31"/>
      <c r="G83" s="31"/>
      <c r="H83" s="31"/>
      <c r="I83" s="31"/>
      <c r="J83" s="31"/>
      <c r="K83" s="31"/>
      <c r="L83" s="31"/>
      <c r="M83" s="31"/>
      <c r="N83" s="31"/>
    </row>
    <row r="84" spans="3:14" x14ac:dyDescent="0.25">
      <c r="C84" s="31"/>
      <c r="D84" s="57"/>
      <c r="E84" s="31"/>
      <c r="F84" s="31"/>
      <c r="G84" s="31"/>
      <c r="H84" s="31"/>
      <c r="I84" s="31"/>
      <c r="J84" s="31"/>
      <c r="K84" s="31"/>
      <c r="L84" s="31"/>
      <c r="M84" s="31"/>
      <c r="N84" s="31"/>
    </row>
    <row r="85" spans="3:14" x14ac:dyDescent="0.25">
      <c r="C85" s="31"/>
      <c r="D85" s="57"/>
      <c r="E85" s="31"/>
      <c r="F85" s="31"/>
      <c r="G85" s="31"/>
      <c r="H85" s="31"/>
      <c r="I85" s="31"/>
      <c r="J85" s="31"/>
      <c r="K85" s="31"/>
      <c r="L85" s="31"/>
      <c r="M85" s="31"/>
      <c r="N85" s="31"/>
    </row>
    <row r="86" spans="3:14" x14ac:dyDescent="0.25">
      <c r="C86" s="31"/>
      <c r="D86" s="57"/>
      <c r="E86" s="31"/>
      <c r="F86" s="31"/>
      <c r="G86" s="31"/>
      <c r="H86" s="31"/>
      <c r="I86" s="31"/>
      <c r="J86" s="31"/>
      <c r="K86" s="31"/>
      <c r="L86" s="31"/>
      <c r="M86" s="31"/>
      <c r="N86" s="31"/>
    </row>
    <row r="87" spans="3:14" x14ac:dyDescent="0.25">
      <c r="C87" s="31"/>
      <c r="D87" s="57"/>
      <c r="E87" s="31"/>
      <c r="F87" s="31"/>
      <c r="G87" s="31"/>
      <c r="H87" s="31"/>
      <c r="I87" s="31"/>
      <c r="J87" s="31"/>
      <c r="K87" s="31"/>
      <c r="L87" s="31"/>
      <c r="M87" s="31"/>
      <c r="N87" s="31"/>
    </row>
    <row r="88" spans="3:14" x14ac:dyDescent="0.25">
      <c r="C88" s="31"/>
      <c r="D88" s="57"/>
      <c r="E88" s="31"/>
      <c r="F88" s="31"/>
      <c r="G88" s="31"/>
      <c r="H88" s="31"/>
      <c r="I88" s="31"/>
      <c r="J88" s="31"/>
      <c r="K88" s="31"/>
      <c r="L88" s="31"/>
      <c r="M88" s="31"/>
      <c r="N88" s="31"/>
    </row>
    <row r="89" spans="3:14" x14ac:dyDescent="0.25">
      <c r="C89" s="31"/>
      <c r="D89" s="57"/>
      <c r="E89" s="31"/>
      <c r="F89" s="31"/>
      <c r="G89" s="31"/>
      <c r="H89" s="31"/>
      <c r="I89" s="31"/>
      <c r="J89" s="31"/>
      <c r="K89" s="31"/>
      <c r="L89" s="31"/>
      <c r="M89" s="31"/>
      <c r="N89" s="31"/>
    </row>
    <row r="90" spans="3:14" x14ac:dyDescent="0.25">
      <c r="C90" s="31"/>
      <c r="D90" s="57"/>
      <c r="E90" s="31"/>
      <c r="F90" s="31"/>
      <c r="G90" s="31"/>
      <c r="H90" s="31"/>
      <c r="I90" s="31"/>
      <c r="J90" s="31"/>
      <c r="K90" s="31"/>
      <c r="L90" s="31"/>
      <c r="M90" s="31"/>
      <c r="N90" s="31"/>
    </row>
    <row r="91" spans="3:14" x14ac:dyDescent="0.25">
      <c r="C91" s="31"/>
      <c r="D91" s="57"/>
      <c r="E91" s="31"/>
      <c r="F91" s="31"/>
      <c r="G91" s="31"/>
      <c r="H91" s="31"/>
      <c r="I91" s="31"/>
      <c r="J91" s="31"/>
      <c r="K91" s="31"/>
      <c r="L91" s="31"/>
      <c r="M91" s="31"/>
      <c r="N91" s="31"/>
    </row>
    <row r="92" spans="3:14" x14ac:dyDescent="0.25">
      <c r="C92" s="31"/>
      <c r="D92" s="57"/>
      <c r="E92" s="31"/>
      <c r="F92" s="31"/>
      <c r="G92" s="31"/>
      <c r="H92" s="31"/>
      <c r="I92" s="31"/>
      <c r="J92" s="31"/>
      <c r="K92" s="31"/>
      <c r="L92" s="31"/>
      <c r="M92" s="31"/>
      <c r="N92" s="31"/>
    </row>
    <row r="93" spans="3:14" x14ac:dyDescent="0.25">
      <c r="C93" s="31"/>
      <c r="D93" s="57"/>
      <c r="E93" s="31"/>
      <c r="F93" s="31"/>
      <c r="G93" s="31"/>
      <c r="H93" s="31"/>
      <c r="I93" s="31"/>
      <c r="J93" s="31"/>
      <c r="K93" s="31"/>
      <c r="L93" s="31"/>
      <c r="M93" s="31"/>
      <c r="N93" s="31"/>
    </row>
    <row r="94" spans="3:14" x14ac:dyDescent="0.25">
      <c r="C94" s="31"/>
      <c r="D94" s="57"/>
      <c r="E94" s="31"/>
      <c r="F94" s="31"/>
      <c r="G94" s="31"/>
      <c r="H94" s="31"/>
      <c r="I94" s="31"/>
      <c r="J94" s="31"/>
      <c r="K94" s="31"/>
      <c r="L94" s="31"/>
      <c r="M94" s="31"/>
      <c r="N94" s="31"/>
    </row>
    <row r="95" spans="3:14" x14ac:dyDescent="0.25">
      <c r="C95" s="31"/>
      <c r="D95" s="57"/>
      <c r="E95" s="31"/>
      <c r="F95" s="31"/>
      <c r="G95" s="31"/>
      <c r="H95" s="31"/>
      <c r="I95" s="31"/>
      <c r="J95" s="31"/>
      <c r="K95" s="31"/>
      <c r="L95" s="31"/>
      <c r="M95" s="31"/>
      <c r="N95" s="31"/>
    </row>
    <row r="96" spans="3:14" x14ac:dyDescent="0.25">
      <c r="C96" s="31"/>
      <c r="D96" s="57"/>
      <c r="E96" s="31"/>
      <c r="F96" s="31"/>
      <c r="G96" s="31"/>
      <c r="H96" s="31"/>
      <c r="I96" s="31"/>
      <c r="J96" s="31"/>
      <c r="K96" s="31"/>
      <c r="L96" s="31"/>
      <c r="M96" s="31"/>
      <c r="N96" s="31"/>
    </row>
    <row r="97" spans="3:14" x14ac:dyDescent="0.25">
      <c r="C97" s="31"/>
      <c r="D97" s="57"/>
      <c r="E97" s="31"/>
      <c r="F97" s="31"/>
      <c r="G97" s="31"/>
      <c r="H97" s="31"/>
      <c r="I97" s="31"/>
      <c r="J97" s="31"/>
      <c r="K97" s="31"/>
      <c r="L97" s="31"/>
      <c r="M97" s="31"/>
      <c r="N97" s="31"/>
    </row>
    <row r="98" spans="3:14" x14ac:dyDescent="0.25">
      <c r="C98" s="31"/>
      <c r="D98" s="57"/>
      <c r="E98" s="31"/>
      <c r="F98" s="31"/>
      <c r="G98" s="31"/>
      <c r="H98" s="31"/>
      <c r="I98" s="31"/>
      <c r="J98" s="31"/>
      <c r="K98" s="31"/>
      <c r="L98" s="31"/>
      <c r="M98" s="31"/>
      <c r="N98" s="31"/>
    </row>
    <row r="99" spans="3:14" x14ac:dyDescent="0.25">
      <c r="C99" s="31"/>
      <c r="D99" s="57"/>
      <c r="E99" s="31"/>
      <c r="F99" s="31"/>
      <c r="G99" s="31"/>
      <c r="H99" s="31"/>
      <c r="I99" s="31"/>
      <c r="J99" s="31"/>
      <c r="K99" s="31"/>
      <c r="L99" s="31"/>
      <c r="M99" s="31"/>
      <c r="N99" s="31"/>
    </row>
    <row r="100" spans="3:14" x14ac:dyDescent="0.25">
      <c r="C100" s="31"/>
      <c r="D100" s="57"/>
      <c r="E100" s="31"/>
      <c r="F100" s="31"/>
      <c r="G100" s="31"/>
      <c r="H100" s="31"/>
      <c r="I100" s="31"/>
      <c r="J100" s="31"/>
      <c r="K100" s="31"/>
      <c r="L100" s="31"/>
      <c r="M100" s="31"/>
      <c r="N100" s="31"/>
    </row>
    <row r="101" spans="3:14" x14ac:dyDescent="0.25"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</row>
    <row r="102" spans="3:14" x14ac:dyDescent="0.25"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</row>
  </sheetData>
  <pageMargins left="0.7" right="0.7" top="0.75" bottom="0.75" header="0.3" footer="0.3"/>
  <pageSetup paperSize="9" orientation="portrait" horizontalDpi="4294967295" verticalDpi="4294967295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C84032DB925244BD86027F34B263D5" ma:contentTypeVersion="12" ma:contentTypeDescription="Create a new document." ma:contentTypeScope="" ma:versionID="83574678117de0700840ecef0d2b72d1">
  <xsd:schema xmlns:xsd="http://www.w3.org/2001/XMLSchema" xmlns:xs="http://www.w3.org/2001/XMLSchema" xmlns:p="http://schemas.microsoft.com/office/2006/metadata/properties" xmlns:ns3="f3d0629f-c14b-4e96-b784-d06560ae4eb8" targetNamespace="http://schemas.microsoft.com/office/2006/metadata/properties" ma:root="true" ma:fieldsID="7e8c5b30da7952d4bee4b2e9e5883504" ns3:_="">
    <xsd:import namespace="f3d0629f-c14b-4e96-b784-d06560ae4eb8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0629f-c14b-4e96-b784-d06560ae4eb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DateTaken" ma:index="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d0629f-c14b-4e96-b784-d06560ae4e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26948A-8EF7-4442-A17E-B3F00A0A5F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d0629f-c14b-4e96-b784-d06560ae4e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BDF2E2-2ECF-4A72-A2FD-8BB5B435F56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f3d0629f-c14b-4e96-b784-d06560ae4eb8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A10C6BC-C3D8-47A9-ADB3-9CB11BE4A8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Newcastle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Yukhnovich</dc:creator>
  <cp:lastModifiedBy>Kate Yukhnovich</cp:lastModifiedBy>
  <dcterms:created xsi:type="dcterms:W3CDTF">2026-01-21T14:48:57Z</dcterms:created>
  <dcterms:modified xsi:type="dcterms:W3CDTF">2026-01-22T12:59:33Z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0x01010096C84032DB925244BD86027F34B263D5</vt:lpwstr>
  </property>
</Properties>
</file>